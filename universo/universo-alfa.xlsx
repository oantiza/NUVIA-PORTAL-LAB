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verso" sheetId="1" state="visible" r:id="rId1"/>
    <sheet xmlns:r="http://schemas.openxmlformats.org/officeDocument/2006/relationships" name="Leyenda" sheetId="2" state="visible" r:id="rId2"/>
  </sheets>
  <definedNames>
    <definedName name="_xlnm._FilterDatabase" localSheetId="0" hidden="1">'Universo'!$A$1:$H$726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FFFFFFFF"/>
    </font>
    <font>
      <b val="1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FF0B2347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4" customWidth="1" min="4" max="4"/>
    <col width="18" customWidth="1" min="5" max="5"/>
    <col width="62" customWidth="1" min="6" max="6"/>
    <col width="8" customWidth="1" min="7" max="7"/>
    <col width="10" customWidth="1" min="8" max="8"/>
  </cols>
  <sheetData>
    <row r="1">
      <c r="A1" s="1" t="inlineStr">
        <is>
          <t>asset_id</t>
        </is>
      </c>
      <c r="B1" s="1" t="inlineStr">
        <is>
          <t>eodhd_symbol</t>
        </is>
      </c>
      <c r="C1" s="1" t="inlineStr">
        <is>
          <t>instrument_type</t>
        </is>
      </c>
      <c r="D1" s="1" t="inlineStr">
        <is>
          <t>clase</t>
        </is>
      </c>
      <c r="E1" s="1" t="inlineStr">
        <is>
          <t>grupo</t>
        </is>
      </c>
      <c r="F1" s="1" t="inlineStr">
        <is>
          <t>nombre</t>
        </is>
      </c>
      <c r="G1" s="1" t="inlineStr">
        <is>
          <t>divisa</t>
        </is>
      </c>
      <c r="H1" s="1" t="inlineStr">
        <is>
          <t>incluir</t>
        </is>
      </c>
    </row>
    <row r="2">
      <c r="A2" t="inlineStr">
        <is>
          <t>IE00BYX5NX33</t>
        </is>
      </c>
      <c r="B2" t="inlineStr">
        <is>
          <t>IE00BYX5NX33.EUFUND</t>
        </is>
      </c>
      <c r="C2" t="inlineStr">
        <is>
          <t>FUND</t>
        </is>
      </c>
      <c r="D2" t="inlineStr">
        <is>
          <t>EQUITY</t>
        </is>
      </c>
      <c r="E2" t="inlineStr">
        <is>
          <t>referencia-bolsa</t>
        </is>
      </c>
      <c r="F2" t="inlineStr">
        <is>
          <t>Fidelity MSCI World Index Fund EUR P Acc</t>
        </is>
      </c>
      <c r="G2" t="inlineStr">
        <is>
          <t>EUR</t>
        </is>
      </c>
      <c r="H2" s="2" t="inlineStr">
        <is>
          <t>si</t>
        </is>
      </c>
    </row>
    <row r="3">
      <c r="A3" t="inlineStr">
        <is>
          <t>IE00B03HD191</t>
        </is>
      </c>
      <c r="B3" t="inlineStr">
        <is>
          <t>IE00B03HD191.EUFUND</t>
        </is>
      </c>
      <c r="C3" t="inlineStr">
        <is>
          <t>FUND</t>
        </is>
      </c>
      <c r="D3" t="inlineStr">
        <is>
          <t>EQUITY</t>
        </is>
      </c>
      <c r="E3" t="inlineStr">
        <is>
          <t>referencia-bolsa</t>
        </is>
      </c>
      <c r="F3" t="inlineStr">
        <is>
          <t>Vanguard Global Stock Index Fund EUR Acc</t>
        </is>
      </c>
      <c r="G3" t="inlineStr">
        <is>
          <t>EUR</t>
        </is>
      </c>
      <c r="H3" s="2" t="inlineStr">
        <is>
          <t>si</t>
        </is>
      </c>
    </row>
    <row r="4">
      <c r="A4" t="inlineStr">
        <is>
          <t>LU0132601682</t>
        </is>
      </c>
      <c r="B4" t="inlineStr">
        <is>
          <t>LU0132601682.EUFUND</t>
        </is>
      </c>
      <c r="C4" t="inlineStr">
        <is>
          <t>FUND</t>
        </is>
      </c>
      <c r="D4" t="inlineStr">
        <is>
          <t>FIXED_INCOME</t>
        </is>
      </c>
      <c r="E4" t="inlineStr">
        <is>
          <t>referencia-bonos</t>
        </is>
      </c>
      <c r="F4" t="inlineStr">
        <is>
          <t>Morgan Stanley Investment Funds - Euro Corporate Bond Fund A</t>
        </is>
      </c>
      <c r="G4" t="inlineStr">
        <is>
          <t>EUR</t>
        </is>
      </c>
      <c r="H4" s="2" t="inlineStr">
        <is>
          <t>si</t>
        </is>
      </c>
    </row>
    <row r="5">
      <c r="A5" t="inlineStr">
        <is>
          <t>LU0113257694</t>
        </is>
      </c>
      <c r="B5" t="inlineStr">
        <is>
          <t>LU0113257694.EUFUND</t>
        </is>
      </c>
      <c r="C5" t="inlineStr">
        <is>
          <t>FUND</t>
        </is>
      </c>
      <c r="D5" t="inlineStr">
        <is>
          <t>FIXED_INCOME</t>
        </is>
      </c>
      <c r="E5" t="inlineStr">
        <is>
          <t>referencia-bonos</t>
        </is>
      </c>
      <c r="F5" t="inlineStr">
        <is>
          <t>Schroder International Selection Fund EURO Corporate Bond A Accumulation EUR</t>
        </is>
      </c>
      <c r="G5" t="inlineStr">
        <is>
          <t>EUR</t>
        </is>
      </c>
      <c r="H5" s="2" t="inlineStr">
        <is>
          <t>si</t>
        </is>
      </c>
    </row>
    <row r="6">
      <c r="A6" t="inlineStr">
        <is>
          <t>LU0469270010</t>
        </is>
      </c>
      <c r="B6" t="inlineStr">
        <is>
          <t>LU0469270010.EUFUND</t>
        </is>
      </c>
      <c r="C6" t="inlineStr">
        <is>
          <t>FUND</t>
        </is>
      </c>
      <c r="D6" t="inlineStr">
        <is>
          <t>EQUITY</t>
        </is>
      </c>
      <c r="E6" t="inlineStr">
        <is>
          <t>fondos-bolsa</t>
        </is>
      </c>
      <c r="F6" t="inlineStr">
        <is>
          <t>AB FCP I - Asia Ex-Japan Equity Portfolio C EUR Acc</t>
        </is>
      </c>
      <c r="G6" t="inlineStr">
        <is>
          <t>EUR</t>
        </is>
      </c>
      <c r="H6" s="2" t="inlineStr">
        <is>
          <t>si</t>
        </is>
      </c>
    </row>
    <row r="7">
      <c r="A7" t="inlineStr">
        <is>
          <t>LU0232524495</t>
        </is>
      </c>
      <c r="B7" t="inlineStr">
        <is>
          <t>LU0232524495.EUFUND</t>
        </is>
      </c>
      <c r="C7" t="inlineStr">
        <is>
          <t>FUND</t>
        </is>
      </c>
      <c r="D7" t="inlineStr">
        <is>
          <t>EQUITY</t>
        </is>
      </c>
      <c r="E7" t="inlineStr">
        <is>
          <t>fondos-bolsa</t>
        </is>
      </c>
      <c r="F7" t="inlineStr">
        <is>
          <t>AB SICAV I - American Growth Portfolio A EUR Acc</t>
        </is>
      </c>
      <c r="G7" t="inlineStr">
        <is>
          <t>EUR</t>
        </is>
      </c>
      <c r="H7" s="2" t="inlineStr">
        <is>
          <t>si</t>
        </is>
      </c>
    </row>
    <row r="8">
      <c r="A8" t="inlineStr">
        <is>
          <t>LU0251853072</t>
        </is>
      </c>
      <c r="B8" t="inlineStr">
        <is>
          <t>LU0251853072.EUFUND</t>
        </is>
      </c>
      <c r="C8" t="inlineStr">
        <is>
          <t>FUND</t>
        </is>
      </c>
      <c r="D8" t="inlineStr">
        <is>
          <t>EQUITY</t>
        </is>
      </c>
      <c r="E8" t="inlineStr">
        <is>
          <t>fondos-bolsa</t>
        </is>
      </c>
      <c r="F8" t="inlineStr">
        <is>
          <t>AB SICAV I - International Health Care Portfolio Class A EUR Acc</t>
        </is>
      </c>
      <c r="G8" t="inlineStr">
        <is>
          <t>EUR</t>
        </is>
      </c>
      <c r="H8" s="2" t="inlineStr">
        <is>
          <t>si</t>
        </is>
      </c>
    </row>
    <row r="9">
      <c r="A9" t="inlineStr">
        <is>
          <t>LU0861897477</t>
        </is>
      </c>
      <c r="B9" t="inlineStr">
        <is>
          <t>LU0861897477.EUFUND</t>
        </is>
      </c>
      <c r="C9" t="inlineStr">
        <is>
          <t>FUND</t>
        </is>
      </c>
      <c r="D9" t="inlineStr">
        <is>
          <t>EQUITY</t>
        </is>
      </c>
      <c r="E9" t="inlineStr">
        <is>
          <t>fondos-bolsa</t>
        </is>
      </c>
      <c r="F9" t="inlineStr">
        <is>
          <t>Abante Global Funds Spanish Opportunities Class B</t>
        </is>
      </c>
      <c r="G9" t="inlineStr">
        <is>
          <t>EUR</t>
        </is>
      </c>
      <c r="H9" s="2" t="inlineStr">
        <is>
          <t>si</t>
        </is>
      </c>
    </row>
    <row r="10">
      <c r="A10" t="inlineStr">
        <is>
          <t>LU0524465977</t>
        </is>
      </c>
      <c r="B10" t="inlineStr">
        <is>
          <t>LU0524465977.EUFUND</t>
        </is>
      </c>
      <c r="C10" t="inlineStr">
        <is>
          <t>FUND</t>
        </is>
      </c>
      <c r="D10" t="inlineStr">
        <is>
          <t>EQUITY</t>
        </is>
      </c>
      <c r="E10" t="inlineStr">
        <is>
          <t>fondos-bolsa</t>
        </is>
      </c>
      <c r="F10" t="inlineStr">
        <is>
          <t>Alken Fund - European Opportunities Class A</t>
        </is>
      </c>
      <c r="G10" t="inlineStr">
        <is>
          <t>EUR</t>
        </is>
      </c>
      <c r="H10" s="2" t="inlineStr">
        <is>
          <t>si</t>
        </is>
      </c>
    </row>
    <row r="11">
      <c r="A11" t="inlineStr">
        <is>
          <t>LU0235308482</t>
        </is>
      </c>
      <c r="B11" t="inlineStr">
        <is>
          <t>LU0235308482.EUFUND</t>
        </is>
      </c>
      <c r="C11" t="inlineStr">
        <is>
          <t>FUND</t>
        </is>
      </c>
      <c r="D11" t="inlineStr">
        <is>
          <t>EQUITY</t>
        </is>
      </c>
      <c r="E11" t="inlineStr">
        <is>
          <t>fondos-bolsa</t>
        </is>
      </c>
      <c r="F11" t="inlineStr">
        <is>
          <t>Alken Fund - European Opportunities Class R</t>
        </is>
      </c>
      <c r="G11" t="inlineStr">
        <is>
          <t>EUR</t>
        </is>
      </c>
      <c r="H11" s="2" t="inlineStr">
        <is>
          <t>si</t>
        </is>
      </c>
    </row>
    <row r="12">
      <c r="A12" t="inlineStr">
        <is>
          <t>LU0524465548</t>
        </is>
      </c>
      <c r="B12" t="inlineStr">
        <is>
          <t>LU0524465548.EUFUND</t>
        </is>
      </c>
      <c r="C12" t="inlineStr">
        <is>
          <t>FUND</t>
        </is>
      </c>
      <c r="D12" t="inlineStr">
        <is>
          <t>EQUITY</t>
        </is>
      </c>
      <c r="E12" t="inlineStr">
        <is>
          <t>fondos-bolsa</t>
        </is>
      </c>
      <c r="F12" t="inlineStr">
        <is>
          <t>Alken Fund - Small Cap Europe Class A</t>
        </is>
      </c>
      <c r="G12" t="inlineStr">
        <is>
          <t>EUR</t>
        </is>
      </c>
      <c r="H12" s="2" t="inlineStr">
        <is>
          <t>si</t>
        </is>
      </c>
    </row>
    <row r="13">
      <c r="A13" t="inlineStr">
        <is>
          <t>LU0256839860</t>
        </is>
      </c>
      <c r="B13" t="inlineStr">
        <is>
          <t>LU0256839860.EUFUND</t>
        </is>
      </c>
      <c r="C13" t="inlineStr">
        <is>
          <t>FUND</t>
        </is>
      </c>
      <c r="D13" t="inlineStr">
        <is>
          <t>EQUITY</t>
        </is>
      </c>
      <c r="E13" t="inlineStr">
        <is>
          <t>fondos-bolsa</t>
        </is>
      </c>
      <c r="F13" t="inlineStr">
        <is>
          <t>Allianz Global Investors Fund - Allianz Europe Equity Growth CT EUR</t>
        </is>
      </c>
      <c r="G13" t="inlineStr">
        <is>
          <t>EUR</t>
        </is>
      </c>
      <c r="H13" s="2" t="inlineStr">
        <is>
          <t>si</t>
        </is>
      </c>
    </row>
    <row r="14">
      <c r="A14" t="inlineStr">
        <is>
          <t>LU0920839429</t>
        </is>
      </c>
      <c r="B14" t="inlineStr">
        <is>
          <t>LU0920839429.EUFUND</t>
        </is>
      </c>
      <c r="C14" t="inlineStr">
        <is>
          <t>FUND</t>
        </is>
      </c>
      <c r="D14" t="inlineStr">
        <is>
          <t>EQUITY</t>
        </is>
      </c>
      <c r="E14" t="inlineStr">
        <is>
          <t>fondos-bolsa</t>
        </is>
      </c>
      <c r="F14" t="inlineStr">
        <is>
          <t>Allianz Global Investors Fund - Allianz Europe Equity Growth Select CT EUR</t>
        </is>
      </c>
      <c r="G14" t="inlineStr">
        <is>
          <t>EUR</t>
        </is>
      </c>
      <c r="H14" s="2" t="inlineStr">
        <is>
          <t>si</t>
        </is>
      </c>
    </row>
    <row r="15">
      <c r="A15" t="inlineStr">
        <is>
          <t>LU0293313325</t>
        </is>
      </c>
      <c r="B15" t="inlineStr">
        <is>
          <t>LU0293313325.EUFUND</t>
        </is>
      </c>
      <c r="C15" t="inlineStr">
        <is>
          <t>FUND</t>
        </is>
      </c>
      <c r="D15" t="inlineStr">
        <is>
          <t>EQUITY</t>
        </is>
      </c>
      <c r="E15" t="inlineStr">
        <is>
          <t>fondos-bolsa</t>
        </is>
      </c>
      <c r="F15" t="inlineStr">
        <is>
          <t>Allianz Global Investors Fund - Allianz GEM Equity High Dividend AT EUR</t>
        </is>
      </c>
      <c r="G15" t="inlineStr">
        <is>
          <t>EUR</t>
        </is>
      </c>
      <c r="H15" s="2" t="inlineStr">
        <is>
          <t>si</t>
        </is>
      </c>
    </row>
    <row r="16">
      <c r="A16" t="inlineStr">
        <is>
          <t>LU0293313671</t>
        </is>
      </c>
      <c r="B16" t="inlineStr">
        <is>
          <t>LU0293313671.EUFUND</t>
        </is>
      </c>
      <c r="C16" t="inlineStr">
        <is>
          <t>FUND</t>
        </is>
      </c>
      <c r="D16" t="inlineStr">
        <is>
          <t>EQUITY</t>
        </is>
      </c>
      <c r="E16" t="inlineStr">
        <is>
          <t>fondos-bolsa</t>
        </is>
      </c>
      <c r="F16" t="inlineStr">
        <is>
          <t>Allianz Global Investors Fund - Allianz GEM Equity High Dividend CT EUR</t>
        </is>
      </c>
      <c r="G16" t="inlineStr">
        <is>
          <t>EUR</t>
        </is>
      </c>
      <c r="H16" s="2" t="inlineStr">
        <is>
          <t>si</t>
        </is>
      </c>
    </row>
    <row r="17">
      <c r="A17" t="inlineStr">
        <is>
          <t>LU1548497699</t>
        </is>
      </c>
      <c r="B17" t="inlineStr">
        <is>
          <t>LU1548497699.EUFUND</t>
        </is>
      </c>
      <c r="C17" t="inlineStr">
        <is>
          <t>FUND</t>
        </is>
      </c>
      <c r="D17" t="inlineStr">
        <is>
          <t>EQUITY</t>
        </is>
      </c>
      <c r="E17" t="inlineStr">
        <is>
          <t>fondos-bolsa</t>
        </is>
      </c>
      <c r="F17" t="inlineStr">
        <is>
          <t>Allianz Global Investors Fund - Allianz Global Artificial Intelligence AT EUR</t>
        </is>
      </c>
      <c r="G17" t="inlineStr">
        <is>
          <t>EUR</t>
        </is>
      </c>
      <c r="H17" s="2" t="inlineStr">
        <is>
          <t>si</t>
        </is>
      </c>
    </row>
    <row r="18">
      <c r="A18" t="inlineStr">
        <is>
          <t>LU1602091867</t>
        </is>
      </c>
      <c r="B18" t="inlineStr">
        <is>
          <t>LU1602091867.EUFUND</t>
        </is>
      </c>
      <c r="C18" t="inlineStr">
        <is>
          <t>FUND</t>
        </is>
      </c>
      <c r="D18" t="inlineStr">
        <is>
          <t>EQUITY</t>
        </is>
      </c>
      <c r="E18" t="inlineStr">
        <is>
          <t>fondos-bolsa</t>
        </is>
      </c>
      <c r="F18" t="inlineStr">
        <is>
          <t>Allianz Global Investors Fund - Allianz Global Artificial Intelligence CT EUR</t>
        </is>
      </c>
      <c r="G18" t="inlineStr">
        <is>
          <t>EUR</t>
        </is>
      </c>
      <c r="H18" s="2" t="inlineStr">
        <is>
          <t>si</t>
        </is>
      </c>
    </row>
    <row r="19">
      <c r="A19" t="inlineStr">
        <is>
          <t>LU0604766674</t>
        </is>
      </c>
      <c r="B19" t="inlineStr">
        <is>
          <t>LU0604766674.EUFUND</t>
        </is>
      </c>
      <c r="C19" t="inlineStr">
        <is>
          <t>FUND</t>
        </is>
      </c>
      <c r="D19" t="inlineStr">
        <is>
          <t>EQUITY</t>
        </is>
      </c>
      <c r="E19" t="inlineStr">
        <is>
          <t>fondos-bolsa</t>
        </is>
      </c>
      <c r="F19" t="inlineStr">
        <is>
          <t>Allianz Global Investors Fund - Allianz Global Metals and Mining AT EUR</t>
        </is>
      </c>
      <c r="G19" t="inlineStr">
        <is>
          <t>EUR</t>
        </is>
      </c>
      <c r="H19" s="2" t="inlineStr">
        <is>
          <t>si</t>
        </is>
      </c>
    </row>
    <row r="20">
      <c r="A20" t="inlineStr">
        <is>
          <t>LU0348784041</t>
        </is>
      </c>
      <c r="B20" t="inlineStr">
        <is>
          <t>LU0348784041.EUFUND</t>
        </is>
      </c>
      <c r="C20" t="inlineStr">
        <is>
          <t>FUND</t>
        </is>
      </c>
      <c r="D20" t="inlineStr">
        <is>
          <t>EQUITY</t>
        </is>
      </c>
      <c r="E20" t="inlineStr">
        <is>
          <t>fondos-bolsa</t>
        </is>
      </c>
      <c r="F20" t="inlineStr">
        <is>
          <t>Allianz Global Investors Fund - Allianz Oriental Income AT EUR</t>
        </is>
      </c>
      <c r="G20" t="inlineStr">
        <is>
          <t>EUR</t>
        </is>
      </c>
      <c r="H20" s="2" t="inlineStr">
        <is>
          <t>si</t>
        </is>
      </c>
    </row>
    <row r="21">
      <c r="A21" t="inlineStr">
        <is>
          <t>LU1931535931</t>
        </is>
      </c>
      <c r="B21" t="inlineStr">
        <is>
          <t>LU1931535931.EUFUND</t>
        </is>
      </c>
      <c r="C21" t="inlineStr">
        <is>
          <t>FUND</t>
        </is>
      </c>
      <c r="D21" t="inlineStr">
        <is>
          <t>EQUITY</t>
        </is>
      </c>
      <c r="E21" t="inlineStr">
        <is>
          <t>fondos-bolsa</t>
        </is>
      </c>
      <c r="F21" t="inlineStr">
        <is>
          <t>Allianz Pet and Animal Wellbeing AT EUR</t>
        </is>
      </c>
      <c r="G21" t="inlineStr">
        <is>
          <t>EUR</t>
        </is>
      </c>
      <c r="H21" s="2" t="inlineStr">
        <is>
          <t>si</t>
        </is>
      </c>
    </row>
    <row r="22">
      <c r="A22" t="inlineStr">
        <is>
          <t>LU0568583420</t>
        </is>
      </c>
      <c r="B22" t="inlineStr">
        <is>
          <t>LU0568583420.EUFUND</t>
        </is>
      </c>
      <c r="C22" t="inlineStr">
        <is>
          <t>FUND</t>
        </is>
      </c>
      <c r="D22" t="inlineStr">
        <is>
          <t>EQUITY</t>
        </is>
      </c>
      <c r="E22" t="inlineStr">
        <is>
          <t>fondos-bolsa</t>
        </is>
      </c>
      <c r="F22" t="inlineStr">
        <is>
          <t>Amundi Funds - Equity Japan Target A EUR (C)</t>
        </is>
      </c>
      <c r="G22" t="inlineStr">
        <is>
          <t>EUR</t>
        </is>
      </c>
      <c r="H22" s="2" t="inlineStr">
        <is>
          <t>si</t>
        </is>
      </c>
    </row>
    <row r="23">
      <c r="A23" t="inlineStr">
        <is>
          <t>LU1883342377</t>
        </is>
      </c>
      <c r="B23" t="inlineStr">
        <is>
          <t>LU1883342377.EUFUND</t>
        </is>
      </c>
      <c r="C23" t="inlineStr">
        <is>
          <t>FUND</t>
        </is>
      </c>
      <c r="D23" t="inlineStr">
        <is>
          <t>EQUITY</t>
        </is>
      </c>
      <c r="E23" t="inlineStr">
        <is>
          <t>fondos-bolsa</t>
        </is>
      </c>
      <c r="F23" t="inlineStr">
        <is>
          <t>Amundi Funds - Global Equity A EUR (C)</t>
        </is>
      </c>
      <c r="G23" t="inlineStr">
        <is>
          <t>EUR</t>
        </is>
      </c>
      <c r="H23" s="2" t="inlineStr">
        <is>
          <t>si</t>
        </is>
      </c>
    </row>
    <row r="24">
      <c r="A24" t="inlineStr">
        <is>
          <t>LU1883342880</t>
        </is>
      </c>
      <c r="B24" t="inlineStr">
        <is>
          <t>LU1883342880.EUFUND</t>
        </is>
      </c>
      <c r="C24" t="inlineStr">
        <is>
          <t>FUND</t>
        </is>
      </c>
      <c r="D24" t="inlineStr">
        <is>
          <t>EQUITY</t>
        </is>
      </c>
      <c r="E24" t="inlineStr">
        <is>
          <t>fondos-bolsa</t>
        </is>
      </c>
      <c r="F24" t="inlineStr">
        <is>
          <t>Amundi Funds - Global Equity C EUR (C)</t>
        </is>
      </c>
      <c r="G24" t="inlineStr">
        <is>
          <t>EUR</t>
        </is>
      </c>
      <c r="H24" s="2" t="inlineStr">
        <is>
          <t>si</t>
        </is>
      </c>
    </row>
    <row r="25">
      <c r="A25" t="inlineStr">
        <is>
          <t>LU1883318740</t>
        </is>
      </c>
      <c r="B25" t="inlineStr">
        <is>
          <t>LU1883318740.EUFUND</t>
        </is>
      </c>
      <c r="C25" t="inlineStr">
        <is>
          <t>FUND</t>
        </is>
      </c>
      <c r="D25" t="inlineStr">
        <is>
          <t>EQUITY</t>
        </is>
      </c>
      <c r="E25" t="inlineStr">
        <is>
          <t>fondos-bolsa</t>
        </is>
      </c>
      <c r="F25" t="inlineStr">
        <is>
          <t>Amundi Funds - Global Equity Responsible A EUR (C)</t>
        </is>
      </c>
      <c r="G25" t="inlineStr">
        <is>
          <t>EUR</t>
        </is>
      </c>
      <c r="H25" s="2" t="inlineStr">
        <is>
          <t>si</t>
        </is>
      </c>
    </row>
    <row r="26">
      <c r="A26" t="inlineStr">
        <is>
          <t>LU1883319474</t>
        </is>
      </c>
      <c r="B26" t="inlineStr">
        <is>
          <t>LU1883319474.EUFUND</t>
        </is>
      </c>
      <c r="C26" t="inlineStr">
        <is>
          <t>FUND</t>
        </is>
      </c>
      <c r="D26" t="inlineStr">
        <is>
          <t>EQUITY</t>
        </is>
      </c>
      <c r="E26" t="inlineStr">
        <is>
          <t>fondos-bolsa</t>
        </is>
      </c>
      <c r="F26" t="inlineStr">
        <is>
          <t>Amundi Funds - Global Equity Responsible C EUR (C)</t>
        </is>
      </c>
      <c r="G26" t="inlineStr">
        <is>
          <t>EUR</t>
        </is>
      </c>
      <c r="H26" s="2" t="inlineStr">
        <is>
          <t>si</t>
        </is>
      </c>
    </row>
    <row r="27">
      <c r="A27" t="inlineStr">
        <is>
          <t>LU0552029406</t>
        </is>
      </c>
      <c r="B27" t="inlineStr">
        <is>
          <t>LU0552029406.EUFUND</t>
        </is>
      </c>
      <c r="C27" t="inlineStr">
        <is>
          <t>FUND</t>
        </is>
      </c>
      <c r="D27" t="inlineStr">
        <is>
          <t>EQUITY</t>
        </is>
      </c>
      <c r="E27" t="inlineStr">
        <is>
          <t>fondos-bolsa</t>
        </is>
      </c>
      <c r="F27" t="inlineStr">
        <is>
          <t>Amundi Funds - Latin America Equity A EUR (C)</t>
        </is>
      </c>
      <c r="G27" t="inlineStr">
        <is>
          <t>EUR</t>
        </is>
      </c>
      <c r="H27" s="2" t="inlineStr">
        <is>
          <t>si</t>
        </is>
      </c>
    </row>
    <row r="28">
      <c r="A28" t="inlineStr">
        <is>
          <t>LU0552029661</t>
        </is>
      </c>
      <c r="B28" t="inlineStr">
        <is>
          <t>LU0552029661.EUFUND</t>
        </is>
      </c>
      <c r="C28" t="inlineStr">
        <is>
          <t>FUND</t>
        </is>
      </c>
      <c r="D28" t="inlineStr">
        <is>
          <t>EQUITY</t>
        </is>
      </c>
      <c r="E28" t="inlineStr">
        <is>
          <t>fondos-bolsa</t>
        </is>
      </c>
      <c r="F28" t="inlineStr">
        <is>
          <t>Amundi Funds - Latin America Equity G EUR (C)</t>
        </is>
      </c>
      <c r="G28" t="inlineStr">
        <is>
          <t>EUR</t>
        </is>
      </c>
      <c r="H28" s="2" t="inlineStr">
        <is>
          <t>si</t>
        </is>
      </c>
    </row>
    <row r="29">
      <c r="A29" t="inlineStr">
        <is>
          <t>ES0184949008</t>
        </is>
      </c>
      <c r="B29" t="inlineStr">
        <is>
          <t>ES0184949008.EUFUND</t>
        </is>
      </c>
      <c r="C29" t="inlineStr">
        <is>
          <t>FUND</t>
        </is>
      </c>
      <c r="D29" t="inlineStr">
        <is>
          <t>EQUITY</t>
        </is>
      </c>
      <c r="E29" t="inlineStr">
        <is>
          <t>fondos-bolsa</t>
        </is>
      </c>
      <c r="F29" t="inlineStr">
        <is>
          <t>ANDBANK MEGATRENDS  FI - CLASE A</t>
        </is>
      </c>
      <c r="G29" t="inlineStr">
        <is>
          <t>EUR</t>
        </is>
      </c>
      <c r="H29" s="2" t="inlineStr">
        <is>
          <t>si</t>
        </is>
      </c>
    </row>
    <row r="30">
      <c r="A30" t="inlineStr">
        <is>
          <t>ES0184949016</t>
        </is>
      </c>
      <c r="B30" t="inlineStr">
        <is>
          <t>ES0184949016.EUFUND</t>
        </is>
      </c>
      <c r="C30" t="inlineStr">
        <is>
          <t>FUND</t>
        </is>
      </c>
      <c r="D30" t="inlineStr">
        <is>
          <t>EQUITY</t>
        </is>
      </c>
      <c r="E30" t="inlineStr">
        <is>
          <t>fondos-bolsa</t>
        </is>
      </c>
      <c r="F30" t="inlineStr">
        <is>
          <t>ANDBANK MEGATRENDS  FI - CLASE B</t>
        </is>
      </c>
      <c r="G30" t="inlineStr">
        <is>
          <t>EUR</t>
        </is>
      </c>
      <c r="H30" s="2" t="inlineStr">
        <is>
          <t>si</t>
        </is>
      </c>
    </row>
    <row r="31">
      <c r="A31" t="inlineStr">
        <is>
          <t>IE0031069499</t>
        </is>
      </c>
      <c r="B31" t="inlineStr">
        <is>
          <t>IE0031069499.EUFUND</t>
        </is>
      </c>
      <c r="C31" t="inlineStr">
        <is>
          <t>FUND</t>
        </is>
      </c>
      <c r="D31" t="inlineStr">
        <is>
          <t>EQUITY</t>
        </is>
      </c>
      <c r="E31" t="inlineStr">
        <is>
          <t>fondos-bolsa</t>
        </is>
      </c>
      <c r="F31" t="inlineStr">
        <is>
          <t>AXA IM Equity Trust - AXA IM All Country Asia Pacific Ex-Japan Small Cap Equity QI B (â‚¬)</t>
        </is>
      </c>
      <c r="G31" t="inlineStr">
        <is>
          <t>EUR</t>
        </is>
      </c>
      <c r="H31" s="2" t="inlineStr">
        <is>
          <t>si</t>
        </is>
      </c>
    </row>
    <row r="32">
      <c r="A32" t="inlineStr">
        <is>
          <t>IE0034277479</t>
        </is>
      </c>
      <c r="B32" t="inlineStr">
        <is>
          <t>IE0034277479.EUFUND</t>
        </is>
      </c>
      <c r="C32" t="inlineStr">
        <is>
          <t>FUND</t>
        </is>
      </c>
      <c r="D32" t="inlineStr">
        <is>
          <t>EQUITY</t>
        </is>
      </c>
      <c r="E32" t="inlineStr">
        <is>
          <t>fondos-bolsa</t>
        </is>
      </c>
      <c r="F32" t="inlineStr">
        <is>
          <t>AXA IM Equity Trust - AXA IM All Country Asia Pacific Ex-Japan Small Cap Equity QI E (â‚¬)</t>
        </is>
      </c>
      <c r="G32" t="inlineStr">
        <is>
          <t>EUR</t>
        </is>
      </c>
      <c r="H32" s="2" t="inlineStr">
        <is>
          <t>si</t>
        </is>
      </c>
    </row>
    <row r="33">
      <c r="A33" t="inlineStr">
        <is>
          <t>LU0184627536</t>
        </is>
      </c>
      <c r="B33" t="inlineStr">
        <is>
          <t>LU0184627536.EUFUND</t>
        </is>
      </c>
      <c r="C33" t="inlineStr">
        <is>
          <t>FUND</t>
        </is>
      </c>
      <c r="D33" t="inlineStr">
        <is>
          <t>EQUITY</t>
        </is>
      </c>
      <c r="E33" t="inlineStr">
        <is>
          <t>fondos-bolsa</t>
        </is>
      </c>
      <c r="F33" t="inlineStr">
        <is>
          <t>AXA World Funds - Switzerland Equity A Capitalisation EUR</t>
        </is>
      </c>
      <c r="G33" t="inlineStr">
        <is>
          <t>EUR</t>
        </is>
      </c>
      <c r="H33" s="2" t="inlineStr">
        <is>
          <t>si</t>
        </is>
      </c>
    </row>
    <row r="34">
      <c r="A34" t="inlineStr">
        <is>
          <t>LU1814994353</t>
        </is>
      </c>
      <c r="B34" t="inlineStr">
        <is>
          <t>LU1814994353.EUFUND</t>
        </is>
      </c>
      <c r="C34" t="inlineStr">
        <is>
          <t>FUND</t>
        </is>
      </c>
      <c r="D34" t="inlineStr">
        <is>
          <t>EQUITY</t>
        </is>
      </c>
      <c r="E34" t="inlineStr">
        <is>
          <t>fondos-bolsa</t>
        </is>
      </c>
      <c r="F34" t="inlineStr">
        <is>
          <t>Azvalor Lux SICAV Altum Faith - Consistent Equity R</t>
        </is>
      </c>
      <c r="G34" t="inlineStr">
        <is>
          <t>EUR</t>
        </is>
      </c>
      <c r="H34" s="2" t="inlineStr">
        <is>
          <t>si</t>
        </is>
      </c>
    </row>
    <row r="35">
      <c r="A35" t="inlineStr">
        <is>
          <t>LU1333148903</t>
        </is>
      </c>
      <c r="B35" t="inlineStr">
        <is>
          <t>LU1333148903.EUFUND</t>
        </is>
      </c>
      <c r="C35" t="inlineStr">
        <is>
          <t>FUND</t>
        </is>
      </c>
      <c r="D35" t="inlineStr">
        <is>
          <t>EQUITY</t>
        </is>
      </c>
      <c r="E35" t="inlineStr">
        <is>
          <t>fondos-bolsa</t>
        </is>
      </c>
      <c r="F35" t="inlineStr">
        <is>
          <t>Azvalor Lux SICAV Azvalor International R</t>
        </is>
      </c>
      <c r="G35" t="inlineStr">
        <is>
          <t>EUR</t>
        </is>
      </c>
      <c r="H35" s="2" t="inlineStr">
        <is>
          <t>si</t>
        </is>
      </c>
    </row>
    <row r="36">
      <c r="A36" t="inlineStr">
        <is>
          <t>ES0112602000</t>
        </is>
      </c>
      <c r="B36" t="inlineStr">
        <is>
          <t>ES0112602000.EUFUND</t>
        </is>
      </c>
      <c r="C36" t="inlineStr">
        <is>
          <t>FUND</t>
        </is>
      </c>
      <c r="D36" t="inlineStr">
        <is>
          <t>EQUITY</t>
        </is>
      </c>
      <c r="E36" t="inlineStr">
        <is>
          <t>fondos-bolsa</t>
        </is>
      </c>
      <c r="F36" t="inlineStr">
        <is>
          <t>AZVALOR MANAGERS  FI</t>
        </is>
      </c>
      <c r="G36" t="inlineStr">
        <is>
          <t>EUR</t>
        </is>
      </c>
      <c r="H36" s="2" t="inlineStr">
        <is>
          <t>si</t>
        </is>
      </c>
    </row>
    <row r="37">
      <c r="A37" t="inlineStr">
        <is>
          <t>LU0631859229</t>
        </is>
      </c>
      <c r="B37" t="inlineStr">
        <is>
          <t>LU0631859229.EUFUND</t>
        </is>
      </c>
      <c r="C37" t="inlineStr">
        <is>
          <t>FUND</t>
        </is>
      </c>
      <c r="D37" t="inlineStr">
        <is>
          <t>EQUITY</t>
        </is>
      </c>
      <c r="E37" t="inlineStr">
        <is>
          <t>fondos-bolsa</t>
        </is>
      </c>
      <c r="F37" t="inlineStr">
        <is>
          <t>Bellevue Funds (Lux) - Bellevue Entrepreneur Europe Small B EUR</t>
        </is>
      </c>
      <c r="G37" t="inlineStr">
        <is>
          <t>EUR</t>
        </is>
      </c>
      <c r="H37" s="2" t="inlineStr">
        <is>
          <t>si</t>
        </is>
      </c>
    </row>
    <row r="38">
      <c r="A38" t="inlineStr">
        <is>
          <t>LU0415391431</t>
        </is>
      </c>
      <c r="B38" t="inlineStr">
        <is>
          <t>LU0415391431.EUFUND</t>
        </is>
      </c>
      <c r="C38" t="inlineStr">
        <is>
          <t>FUND</t>
        </is>
      </c>
      <c r="D38" t="inlineStr">
        <is>
          <t>EQUITY</t>
        </is>
      </c>
      <c r="E38" t="inlineStr">
        <is>
          <t>fondos-bolsa</t>
        </is>
      </c>
      <c r="F38" t="inlineStr">
        <is>
          <t>Bellevue Funds (Lux) - Bellevue Medtech &amp; Services B EUR</t>
        </is>
      </c>
      <c r="G38" t="inlineStr">
        <is>
          <t>EUR</t>
        </is>
      </c>
      <c r="H38" s="2" t="inlineStr">
        <is>
          <t>si</t>
        </is>
      </c>
    </row>
    <row r="39">
      <c r="A39" t="inlineStr">
        <is>
          <t>ES0114673033</t>
        </is>
      </c>
      <c r="B39" t="inlineStr">
        <is>
          <t>ES0114673033.EUFUND</t>
        </is>
      </c>
      <c r="C39" t="inlineStr">
        <is>
          <t>FUND</t>
        </is>
      </c>
      <c r="D39" t="inlineStr">
        <is>
          <t>EQUITY</t>
        </is>
      </c>
      <c r="E39" t="inlineStr">
        <is>
          <t>fondos-bolsa</t>
        </is>
      </c>
      <c r="F39" t="inlineStr">
        <is>
          <t>BESTINFOND  FI</t>
        </is>
      </c>
      <c r="G39" t="inlineStr">
        <is>
          <t>EUR</t>
        </is>
      </c>
      <c r="H39" s="2" t="inlineStr">
        <is>
          <t>si</t>
        </is>
      </c>
    </row>
    <row r="40">
      <c r="A40" t="inlineStr">
        <is>
          <t>LU0563745743</t>
        </is>
      </c>
      <c r="B40" t="inlineStr">
        <is>
          <t>LU0563745743.EUFUND</t>
        </is>
      </c>
      <c r="C40" t="inlineStr">
        <is>
          <t>FUND</t>
        </is>
      </c>
      <c r="D40" t="inlineStr">
        <is>
          <t>EQUITY</t>
        </is>
      </c>
      <c r="E40" t="inlineStr">
        <is>
          <t>fondos-bolsa</t>
        </is>
      </c>
      <c r="F40" t="inlineStr">
        <is>
          <t>Bestinver Tordesillas SICAV Iberia A</t>
        </is>
      </c>
      <c r="G40" t="inlineStr">
        <is>
          <t>EUR</t>
        </is>
      </c>
      <c r="H40" s="2" t="inlineStr">
        <is>
          <t>si</t>
        </is>
      </c>
    </row>
    <row r="41">
      <c r="A41" t="inlineStr">
        <is>
          <t>LU0224105477</t>
        </is>
      </c>
      <c r="B41" t="inlineStr">
        <is>
          <t>LU0224105477.EUFUND</t>
        </is>
      </c>
      <c r="C41" t="inlineStr">
        <is>
          <t>FUND</t>
        </is>
      </c>
      <c r="D41" t="inlineStr">
        <is>
          <t>EQUITY</t>
        </is>
      </c>
      <c r="E41" t="inlineStr">
        <is>
          <t>fondos-bolsa</t>
        </is>
      </c>
      <c r="F41" t="inlineStr">
        <is>
          <t>BlackRock Global Funds - Continental European Flexible Fund Class A2 EUR</t>
        </is>
      </c>
      <c r="G41" t="inlineStr">
        <is>
          <t>EUR</t>
        </is>
      </c>
      <c r="H41" s="2" t="inlineStr">
        <is>
          <t>si</t>
        </is>
      </c>
    </row>
    <row r="42">
      <c r="A42" t="inlineStr">
        <is>
          <t>LU0224105980</t>
        </is>
      </c>
      <c r="B42" t="inlineStr">
        <is>
          <t>LU0224105980.EUFUND</t>
        </is>
      </c>
      <c r="C42" t="inlineStr">
        <is>
          <t>FUND</t>
        </is>
      </c>
      <c r="D42" t="inlineStr">
        <is>
          <t>EQUITY</t>
        </is>
      </c>
      <c r="E42" t="inlineStr">
        <is>
          <t>fondos-bolsa</t>
        </is>
      </c>
      <c r="F42" t="inlineStr">
        <is>
          <t>BlackRock Global Funds - Continental European Flexible Fund E2</t>
        </is>
      </c>
      <c r="G42" t="inlineStr">
        <is>
          <t>EUR</t>
        </is>
      </c>
      <c r="H42" s="2" t="inlineStr">
        <is>
          <t>si</t>
        </is>
      </c>
    </row>
    <row r="43">
      <c r="A43" t="inlineStr">
        <is>
          <t>LU2050411763</t>
        </is>
      </c>
      <c r="B43" t="inlineStr">
        <is>
          <t>LU2050411763.EUFUND</t>
        </is>
      </c>
      <c r="C43" t="inlineStr">
        <is>
          <t>FUND</t>
        </is>
      </c>
      <c r="D43" t="inlineStr">
        <is>
          <t>EQUITY</t>
        </is>
      </c>
      <c r="E43" t="inlineStr">
        <is>
          <t>fondos-bolsa</t>
        </is>
      </c>
      <c r="F43" t="inlineStr">
        <is>
          <t>BlackRock Global Funds - Emerging Markets Equity Income Fund A2</t>
        </is>
      </c>
      <c r="G43" t="inlineStr">
        <is>
          <t>EUR</t>
        </is>
      </c>
      <c r="H43" s="2" t="inlineStr">
        <is>
          <t>si</t>
        </is>
      </c>
    </row>
    <row r="44">
      <c r="A44" t="inlineStr">
        <is>
          <t>LU0171275786</t>
        </is>
      </c>
      <c r="B44" t="inlineStr">
        <is>
          <t>LU0171275786.EUFUND</t>
        </is>
      </c>
      <c r="C44" t="inlineStr">
        <is>
          <t>FUND</t>
        </is>
      </c>
      <c r="D44" t="inlineStr">
        <is>
          <t>EQUITY</t>
        </is>
      </c>
      <c r="E44" t="inlineStr">
        <is>
          <t>fondos-bolsa</t>
        </is>
      </c>
      <c r="F44" t="inlineStr">
        <is>
          <t>BlackRock Global Funds - Emerging Markets Fund A2</t>
        </is>
      </c>
      <c r="G44" t="inlineStr">
        <is>
          <t>EUR</t>
        </is>
      </c>
      <c r="H44" s="2" t="inlineStr">
        <is>
          <t>si</t>
        </is>
      </c>
    </row>
    <row r="45">
      <c r="A45" t="inlineStr">
        <is>
          <t>LU0628612748</t>
        </is>
      </c>
      <c r="B45" t="inlineStr">
        <is>
          <t>LU0628612748.EUFUND</t>
        </is>
      </c>
      <c r="C45" t="inlineStr">
        <is>
          <t>FUND</t>
        </is>
      </c>
      <c r="D45" t="inlineStr">
        <is>
          <t>EQUITY</t>
        </is>
      </c>
      <c r="E45" t="inlineStr">
        <is>
          <t>fondos-bolsa</t>
        </is>
      </c>
      <c r="F45" t="inlineStr">
        <is>
          <t>BlackRock Global Funds - European Equity Income Fund E2</t>
        </is>
      </c>
      <c r="G45" t="inlineStr">
        <is>
          <t>EUR</t>
        </is>
      </c>
      <c r="H45" s="2" t="inlineStr">
        <is>
          <t>si</t>
        </is>
      </c>
    </row>
    <row r="46">
      <c r="A46" t="inlineStr">
        <is>
          <t>LU0229084990</t>
        </is>
      </c>
      <c r="B46" t="inlineStr">
        <is>
          <t>LU0229084990.EUFUND</t>
        </is>
      </c>
      <c r="C46" t="inlineStr">
        <is>
          <t>FUND</t>
        </is>
      </c>
      <c r="D46" t="inlineStr">
        <is>
          <t>EQUITY</t>
        </is>
      </c>
      <c r="E46" t="inlineStr">
        <is>
          <t>fondos-bolsa</t>
        </is>
      </c>
      <c r="F46" t="inlineStr">
        <is>
          <t>BlackRock Global Funds - European Equity Transition Fund A2 EUR</t>
        </is>
      </c>
      <c r="G46" t="inlineStr">
        <is>
          <t>EUR</t>
        </is>
      </c>
      <c r="H46" s="2" t="inlineStr">
        <is>
          <t>si</t>
        </is>
      </c>
    </row>
    <row r="47">
      <c r="A47" t="inlineStr">
        <is>
          <t>LU0072462186</t>
        </is>
      </c>
      <c r="B47" t="inlineStr">
        <is>
          <t>LU0072462186.EUFUND</t>
        </is>
      </c>
      <c r="C47" t="inlineStr">
        <is>
          <t>FUND</t>
        </is>
      </c>
      <c r="D47" t="inlineStr">
        <is>
          <t>EQUITY</t>
        </is>
      </c>
      <c r="E47" t="inlineStr">
        <is>
          <t>fondos-bolsa</t>
        </is>
      </c>
      <c r="F47" t="inlineStr">
        <is>
          <t>BlackRock Global Funds - European Value Fund A2</t>
        </is>
      </c>
      <c r="G47" t="inlineStr">
        <is>
          <t>EUR</t>
        </is>
      </c>
      <c r="H47" s="2" t="inlineStr">
        <is>
          <t>si</t>
        </is>
      </c>
    </row>
    <row r="48">
      <c r="A48" t="inlineStr">
        <is>
          <t>LU1917163617</t>
        </is>
      </c>
      <c r="B48" t="inlineStr">
        <is>
          <t>LU1917163617.EUFUND</t>
        </is>
      </c>
      <c r="C48" t="inlineStr">
        <is>
          <t>FUND</t>
        </is>
      </c>
      <c r="D48" t="inlineStr">
        <is>
          <t>EQUITY</t>
        </is>
      </c>
      <c r="E48" t="inlineStr">
        <is>
          <t>fondos-bolsa</t>
        </is>
      </c>
      <c r="F48" t="inlineStr">
        <is>
          <t>BlackRock Global Funds - FinTech Fund E2</t>
        </is>
      </c>
      <c r="G48" t="inlineStr">
        <is>
          <t>EUR</t>
        </is>
      </c>
      <c r="H48" s="2" t="inlineStr">
        <is>
          <t>si</t>
        </is>
      </c>
    </row>
    <row r="49">
      <c r="A49" t="inlineStr">
        <is>
          <t>LU0171285587</t>
        </is>
      </c>
      <c r="B49" t="inlineStr">
        <is>
          <t>LU0171285587.EUFUND</t>
        </is>
      </c>
      <c r="C49" t="inlineStr">
        <is>
          <t>FUND</t>
        </is>
      </c>
      <c r="D49" t="inlineStr">
        <is>
          <t>EQUITY</t>
        </is>
      </c>
      <c r="E49" t="inlineStr">
        <is>
          <t>fondos-bolsa</t>
        </is>
      </c>
      <c r="F49" t="inlineStr">
        <is>
          <t>BlackRock Global Funds - Global Long-Horizon Equity Fund E2</t>
        </is>
      </c>
      <c r="G49" t="inlineStr">
        <is>
          <t>EUR</t>
        </is>
      </c>
      <c r="H49" s="2" t="inlineStr">
        <is>
          <t>si</t>
        </is>
      </c>
    </row>
    <row r="50">
      <c r="A50" t="inlineStr">
        <is>
          <t>LU0171289902</t>
        </is>
      </c>
      <c r="B50" t="inlineStr">
        <is>
          <t>LU0171289902.EUFUND</t>
        </is>
      </c>
      <c r="C50" t="inlineStr">
        <is>
          <t>FUND</t>
        </is>
      </c>
      <c r="D50" t="inlineStr">
        <is>
          <t>EQUITY</t>
        </is>
      </c>
      <c r="E50" t="inlineStr">
        <is>
          <t>fondos-bolsa</t>
        </is>
      </c>
      <c r="F50" t="inlineStr">
        <is>
          <t>BlackRock Global Funds - Sustainable Energy Fund A2</t>
        </is>
      </c>
      <c r="G50" t="inlineStr">
        <is>
          <t>EUR</t>
        </is>
      </c>
      <c r="H50" s="2" t="inlineStr">
        <is>
          <t>si</t>
        </is>
      </c>
    </row>
    <row r="51">
      <c r="A51" t="inlineStr">
        <is>
          <t>LU0331286574</t>
        </is>
      </c>
      <c r="B51" t="inlineStr">
        <is>
          <t>LU0331286574.EUFUND</t>
        </is>
      </c>
      <c r="C51" t="inlineStr">
        <is>
          <t>FUND</t>
        </is>
      </c>
      <c r="D51" t="inlineStr">
        <is>
          <t>EQUITY</t>
        </is>
      </c>
      <c r="E51" t="inlineStr">
        <is>
          <t>fondos-bolsa</t>
        </is>
      </c>
      <c r="F51" t="inlineStr">
        <is>
          <t>BlackRock Global Funds - Sustainable Energy Fund C2</t>
        </is>
      </c>
      <c r="G51" t="inlineStr">
        <is>
          <t>EUR</t>
        </is>
      </c>
      <c r="H51" s="2" t="inlineStr">
        <is>
          <t>si</t>
        </is>
      </c>
    </row>
    <row r="52">
      <c r="A52" t="inlineStr">
        <is>
          <t>LU0171290074</t>
        </is>
      </c>
      <c r="B52" t="inlineStr">
        <is>
          <t>LU0171290074.EUFUND</t>
        </is>
      </c>
      <c r="C52" t="inlineStr">
        <is>
          <t>FUND</t>
        </is>
      </c>
      <c r="D52" t="inlineStr">
        <is>
          <t>EQUITY</t>
        </is>
      </c>
      <c r="E52" t="inlineStr">
        <is>
          <t>fondos-bolsa</t>
        </is>
      </c>
      <c r="F52" t="inlineStr">
        <is>
          <t>BlackRock Global Funds - Sustainable Energy Fund E2</t>
        </is>
      </c>
      <c r="G52" t="inlineStr">
        <is>
          <t>EUR</t>
        </is>
      </c>
      <c r="H52" s="2" t="inlineStr">
        <is>
          <t>si</t>
        </is>
      </c>
    </row>
    <row r="53">
      <c r="A53" t="inlineStr">
        <is>
          <t>LU0171296949</t>
        </is>
      </c>
      <c r="B53" t="inlineStr">
        <is>
          <t>LU0171296949.EUFUND</t>
        </is>
      </c>
      <c r="C53" t="inlineStr">
        <is>
          <t>FUND</t>
        </is>
      </c>
      <c r="D53" t="inlineStr">
        <is>
          <t>EQUITY</t>
        </is>
      </c>
      <c r="E53" t="inlineStr">
        <is>
          <t>fondos-bolsa</t>
        </is>
      </c>
      <c r="F53" t="inlineStr">
        <is>
          <t>BlackRock Global Funds - US Flexible Equity Fund E2</t>
        </is>
      </c>
      <c r="G53" t="inlineStr">
        <is>
          <t>EUR</t>
        </is>
      </c>
      <c r="H53" s="2" t="inlineStr">
        <is>
          <t>si</t>
        </is>
      </c>
    </row>
    <row r="54">
      <c r="A54" t="inlineStr">
        <is>
          <t>LU0171304552</t>
        </is>
      </c>
      <c r="B54" t="inlineStr">
        <is>
          <t>LU0171304552.EUFUND</t>
        </is>
      </c>
      <c r="C54" t="inlineStr">
        <is>
          <t>FUND</t>
        </is>
      </c>
      <c r="D54" t="inlineStr">
        <is>
          <t>EQUITY</t>
        </is>
      </c>
      <c r="E54" t="inlineStr">
        <is>
          <t>fondos-bolsa</t>
        </is>
      </c>
      <c r="F54" t="inlineStr">
        <is>
          <t>BlackRock Global Funds - World Energy Fund E2</t>
        </is>
      </c>
      <c r="G54" t="inlineStr">
        <is>
          <t>EUR</t>
        </is>
      </c>
      <c r="H54" s="2" t="inlineStr">
        <is>
          <t>si</t>
        </is>
      </c>
    </row>
    <row r="55">
      <c r="A55" t="inlineStr">
        <is>
          <t>LU0171304719</t>
        </is>
      </c>
      <c r="B55" t="inlineStr">
        <is>
          <t>LU0171304719.EUFUND</t>
        </is>
      </c>
      <c r="C55" t="inlineStr">
        <is>
          <t>FUND</t>
        </is>
      </c>
      <c r="D55" t="inlineStr">
        <is>
          <t>EQUITY</t>
        </is>
      </c>
      <c r="E55" t="inlineStr">
        <is>
          <t>fondos-bolsa</t>
        </is>
      </c>
      <c r="F55" t="inlineStr">
        <is>
          <t>BlackRock Global Funds - World Financials Fund A2</t>
        </is>
      </c>
      <c r="G55" t="inlineStr">
        <is>
          <t>EUR</t>
        </is>
      </c>
      <c r="H55" s="2" t="inlineStr">
        <is>
          <t>si</t>
        </is>
      </c>
    </row>
    <row r="56">
      <c r="A56" t="inlineStr">
        <is>
          <t>LU0171305443</t>
        </is>
      </c>
      <c r="B56" t="inlineStr">
        <is>
          <t>LU0171305443.EUFUND</t>
        </is>
      </c>
      <c r="C56" t="inlineStr">
        <is>
          <t>FUND</t>
        </is>
      </c>
      <c r="D56" t="inlineStr">
        <is>
          <t>EQUITY</t>
        </is>
      </c>
      <c r="E56" t="inlineStr">
        <is>
          <t>fondos-bolsa</t>
        </is>
      </c>
      <c r="F56" t="inlineStr">
        <is>
          <t>BlackRock Global Funds - World Financials Fund E2</t>
        </is>
      </c>
      <c r="G56" t="inlineStr">
        <is>
          <t>EUR</t>
        </is>
      </c>
      <c r="H56" s="2" t="inlineStr">
        <is>
          <t>si</t>
        </is>
      </c>
    </row>
    <row r="57">
      <c r="A57" t="inlineStr">
        <is>
          <t>LU0171306680</t>
        </is>
      </c>
      <c r="B57" t="inlineStr">
        <is>
          <t>LU0171306680.EUFUND</t>
        </is>
      </c>
      <c r="C57" t="inlineStr">
        <is>
          <t>FUND</t>
        </is>
      </c>
      <c r="D57" t="inlineStr">
        <is>
          <t>EQUITY</t>
        </is>
      </c>
      <c r="E57" t="inlineStr">
        <is>
          <t>fondos-bolsa</t>
        </is>
      </c>
      <c r="F57" t="inlineStr">
        <is>
          <t>BlackRock Global Funds - World Gold Fund E2</t>
        </is>
      </c>
      <c r="G57" t="inlineStr">
        <is>
          <t>EUR</t>
        </is>
      </c>
      <c r="H57" s="2" t="inlineStr">
        <is>
          <t>si</t>
        </is>
      </c>
    </row>
    <row r="58">
      <c r="A58" t="inlineStr">
        <is>
          <t>LU0171307068</t>
        </is>
      </c>
      <c r="B58" t="inlineStr">
        <is>
          <t>LU0171307068.EUFUND</t>
        </is>
      </c>
      <c r="C58" t="inlineStr">
        <is>
          <t>FUND</t>
        </is>
      </c>
      <c r="D58" t="inlineStr">
        <is>
          <t>EQUITY</t>
        </is>
      </c>
      <c r="E58" t="inlineStr">
        <is>
          <t>fondos-bolsa</t>
        </is>
      </c>
      <c r="F58" t="inlineStr">
        <is>
          <t>BlackRock Global Funds - World Healthscience Fund A2</t>
        </is>
      </c>
      <c r="G58" t="inlineStr">
        <is>
          <t>EUR</t>
        </is>
      </c>
      <c r="H58" s="2" t="inlineStr">
        <is>
          <t>si</t>
        </is>
      </c>
    </row>
    <row r="59">
      <c r="A59" t="inlineStr">
        <is>
          <t>LU0171309270</t>
        </is>
      </c>
      <c r="B59" t="inlineStr">
        <is>
          <t>LU0171309270.EUFUND</t>
        </is>
      </c>
      <c r="C59" t="inlineStr">
        <is>
          <t>FUND</t>
        </is>
      </c>
      <c r="D59" t="inlineStr">
        <is>
          <t>EQUITY</t>
        </is>
      </c>
      <c r="E59" t="inlineStr">
        <is>
          <t>fondos-bolsa</t>
        </is>
      </c>
      <c r="F59" t="inlineStr">
        <is>
          <t>BlackRock Global Funds - World Healthscience Fund E2</t>
        </is>
      </c>
      <c r="G59" t="inlineStr">
        <is>
          <t>EUR</t>
        </is>
      </c>
      <c r="H59" s="2" t="inlineStr">
        <is>
          <t>si</t>
        </is>
      </c>
    </row>
    <row r="60">
      <c r="A60" t="inlineStr">
        <is>
          <t>LU0172157280</t>
        </is>
      </c>
      <c r="B60" t="inlineStr">
        <is>
          <t>LU0172157280.EUFUND</t>
        </is>
      </c>
      <c r="C60" t="inlineStr">
        <is>
          <t>FUND</t>
        </is>
      </c>
      <c r="D60" t="inlineStr">
        <is>
          <t>EQUITY</t>
        </is>
      </c>
      <c r="E60" t="inlineStr">
        <is>
          <t>fondos-bolsa</t>
        </is>
      </c>
      <c r="F60" t="inlineStr">
        <is>
          <t>BlackRock Global Funds - World Mining Fund A2</t>
        </is>
      </c>
      <c r="G60" t="inlineStr">
        <is>
          <t>EUR</t>
        </is>
      </c>
      <c r="H60" s="2" t="inlineStr">
        <is>
          <t>si</t>
        </is>
      </c>
    </row>
    <row r="61">
      <c r="A61" t="inlineStr">
        <is>
          <t>LU0172157363</t>
        </is>
      </c>
      <c r="B61" t="inlineStr">
        <is>
          <t>LU0172157363.EUFUND</t>
        </is>
      </c>
      <c r="C61" t="inlineStr">
        <is>
          <t>FUND</t>
        </is>
      </c>
      <c r="D61" t="inlineStr">
        <is>
          <t>EQUITY</t>
        </is>
      </c>
      <c r="E61" t="inlineStr">
        <is>
          <t>fondos-bolsa</t>
        </is>
      </c>
      <c r="F61" t="inlineStr">
        <is>
          <t>BlackRock Global Funds - World Mining Fund E2 EUR</t>
        </is>
      </c>
      <c r="G61" t="inlineStr">
        <is>
          <t>EUR</t>
        </is>
      </c>
      <c r="H61" s="2" t="inlineStr">
        <is>
          <t>si</t>
        </is>
      </c>
    </row>
    <row r="62">
      <c r="A62" t="inlineStr">
        <is>
          <t>LU0326425351</t>
        </is>
      </c>
      <c r="B62" t="inlineStr">
        <is>
          <t>LU0326425351.EUFUND</t>
        </is>
      </c>
      <c r="C62" t="inlineStr">
        <is>
          <t>FUND</t>
        </is>
      </c>
      <c r="D62" t="inlineStr">
        <is>
          <t>EQUITY</t>
        </is>
      </c>
      <c r="E62" t="inlineStr">
        <is>
          <t>fondos-bolsa</t>
        </is>
      </c>
      <c r="F62" t="inlineStr">
        <is>
          <t>BlackRock Global Funds - World Mining Fund E2 EUR Hedged</t>
        </is>
      </c>
      <c r="G62" t="inlineStr">
        <is>
          <t>EUR</t>
        </is>
      </c>
      <c r="H62" s="2" t="inlineStr">
        <is>
          <t>si</t>
        </is>
      </c>
    </row>
    <row r="63">
      <c r="A63" t="inlineStr">
        <is>
          <t>LU1321847805</t>
        </is>
      </c>
      <c r="B63" t="inlineStr">
        <is>
          <t>LU1321847805.EUFUND</t>
        </is>
      </c>
      <c r="C63" t="inlineStr">
        <is>
          <t>FUND</t>
        </is>
      </c>
      <c r="D63" t="inlineStr">
        <is>
          <t>EQUITY</t>
        </is>
      </c>
      <c r="E63" t="inlineStr">
        <is>
          <t>fondos-bolsa</t>
        </is>
      </c>
      <c r="F63" t="inlineStr">
        <is>
          <t>BlackRock Strategic Funds - Emerging Markets Equity Strategies Fund E2 EUR</t>
        </is>
      </c>
      <c r="G63" t="inlineStr">
        <is>
          <t>EUR</t>
        </is>
      </c>
      <c r="H63" s="2" t="inlineStr">
        <is>
          <t>si</t>
        </is>
      </c>
    </row>
    <row r="64">
      <c r="A64" t="inlineStr">
        <is>
          <t>LU0313923228</t>
        </is>
      </c>
      <c r="B64" t="inlineStr">
        <is>
          <t>LU0313923228.EUFUND</t>
        </is>
      </c>
      <c r="C64" t="inlineStr">
        <is>
          <t>FUND</t>
        </is>
      </c>
      <c r="D64" t="inlineStr">
        <is>
          <t>EQUITY</t>
        </is>
      </c>
      <c r="E64" t="inlineStr">
        <is>
          <t>fondos-bolsa</t>
        </is>
      </c>
      <c r="F64" t="inlineStr">
        <is>
          <t>BlackRock Strategic Funds - European Opportunities Extension Fund A2 EUR</t>
        </is>
      </c>
      <c r="G64" t="inlineStr">
        <is>
          <t>EUR</t>
        </is>
      </c>
      <c r="H64" s="2" t="inlineStr">
        <is>
          <t>si</t>
        </is>
      </c>
    </row>
    <row r="65">
      <c r="A65" t="inlineStr">
        <is>
          <t>LU1162516717</t>
        </is>
      </c>
      <c r="B65" t="inlineStr">
        <is>
          <t>LU1162516717.EUFUND</t>
        </is>
      </c>
      <c r="C65" t="inlineStr">
        <is>
          <t>FUND</t>
        </is>
      </c>
      <c r="D65" t="inlineStr">
        <is>
          <t>EQUITY</t>
        </is>
      </c>
      <c r="E65" t="inlineStr">
        <is>
          <t>fondos-bolsa</t>
        </is>
      </c>
      <c r="F65" t="inlineStr">
        <is>
          <t>BlackRock Systematic Global Equity Absolute Return Fund A2 EUR Hedged</t>
        </is>
      </c>
      <c r="G65" t="inlineStr">
        <is>
          <t>EUR</t>
        </is>
      </c>
      <c r="H65" s="2" t="inlineStr">
        <is>
          <t>si</t>
        </is>
      </c>
    </row>
    <row r="66">
      <c r="A66" t="inlineStr">
        <is>
          <t>LU2092176515</t>
        </is>
      </c>
      <c r="B66" t="inlineStr">
        <is>
          <t>LU2092176515.EUFUND</t>
        </is>
      </c>
      <c r="C66" t="inlineStr">
        <is>
          <t>FUND</t>
        </is>
      </c>
      <c r="D66" t="inlineStr">
        <is>
          <t>EQUITY</t>
        </is>
      </c>
      <c r="E66" t="inlineStr">
        <is>
          <t>fondos-bolsa</t>
        </is>
      </c>
      <c r="F66" t="inlineStr">
        <is>
          <t>BlueBox Funds - BlueBox Global Technology Fund Class C EUR Acc</t>
        </is>
      </c>
      <c r="G66" t="inlineStr">
        <is>
          <t>EUR</t>
        </is>
      </c>
      <c r="H66" s="2" t="inlineStr">
        <is>
          <t>si</t>
        </is>
      </c>
    </row>
    <row r="67">
      <c r="A67" t="inlineStr">
        <is>
          <t>LU0823411706</t>
        </is>
      </c>
      <c r="B67" t="inlineStr">
        <is>
          <t>LU0823411706.EUFUND</t>
        </is>
      </c>
      <c r="C67" t="inlineStr">
        <is>
          <t>FUND</t>
        </is>
      </c>
      <c r="D67" t="inlineStr">
        <is>
          <t>EQUITY</t>
        </is>
      </c>
      <c r="E67" t="inlineStr">
        <is>
          <t>fondos-bolsa</t>
        </is>
      </c>
      <c r="F67" t="inlineStr">
        <is>
          <t>BNP Paribas Funds Consumer InnovatorsClassic Capitalisation</t>
        </is>
      </c>
      <c r="G67" t="inlineStr">
        <is>
          <t>EUR</t>
        </is>
      </c>
      <c r="H67" s="2" t="inlineStr">
        <is>
          <t>si</t>
        </is>
      </c>
    </row>
    <row r="68">
      <c r="A68" t="inlineStr">
        <is>
          <t>LU0823421689</t>
        </is>
      </c>
      <c r="B68" t="inlineStr">
        <is>
          <t>LU0823421689.EUFUND</t>
        </is>
      </c>
      <c r="C68" t="inlineStr">
        <is>
          <t>FUND</t>
        </is>
      </c>
      <c r="D68" t="inlineStr">
        <is>
          <t>EQUITY</t>
        </is>
      </c>
      <c r="E68" t="inlineStr">
        <is>
          <t>fondos-bolsa</t>
        </is>
      </c>
      <c r="F68" t="inlineStr">
        <is>
          <t>BNP Paribas Funds Disruptive Technology Classic Capitalisation</t>
        </is>
      </c>
      <c r="G68" t="inlineStr">
        <is>
          <t>EUR</t>
        </is>
      </c>
      <c r="H68" s="2" t="inlineStr">
        <is>
          <t>si</t>
        </is>
      </c>
    </row>
    <row r="69">
      <c r="A69" t="inlineStr">
        <is>
          <t>LU0360646680</t>
        </is>
      </c>
      <c r="B69" t="inlineStr">
        <is>
          <t>LU0360646680.EUFUND</t>
        </is>
      </c>
      <c r="C69" t="inlineStr">
        <is>
          <t>FUND</t>
        </is>
      </c>
      <c r="D69" t="inlineStr">
        <is>
          <t>EQUITY</t>
        </is>
      </c>
      <c r="E69" t="inlineStr">
        <is>
          <t>fondos-bolsa</t>
        </is>
      </c>
      <c r="F69" t="inlineStr">
        <is>
          <t>BNP Paribas Funds Euro Defensive Equity Classic Capitalisation</t>
        </is>
      </c>
      <c r="G69" t="inlineStr">
        <is>
          <t>EUR</t>
        </is>
      </c>
      <c r="H69" s="2" t="inlineStr">
        <is>
          <t>si</t>
        </is>
      </c>
    </row>
    <row r="70">
      <c r="A70" t="inlineStr">
        <is>
          <t>LU0212178916</t>
        </is>
      </c>
      <c r="B70" t="inlineStr">
        <is>
          <t>LU0212178916.EUFUND</t>
        </is>
      </c>
      <c r="C70" t="inlineStr">
        <is>
          <t>FUND</t>
        </is>
      </c>
      <c r="D70" t="inlineStr">
        <is>
          <t>EQUITY</t>
        </is>
      </c>
      <c r="E70" t="inlineStr">
        <is>
          <t>fondos-bolsa</t>
        </is>
      </c>
      <c r="F70" t="inlineStr">
        <is>
          <t>BNP Paribas Funds Europe Small Cap Classic Capitalisation</t>
        </is>
      </c>
      <c r="G70" t="inlineStr">
        <is>
          <t>EUR</t>
        </is>
      </c>
      <c r="H70" s="2" t="inlineStr">
        <is>
          <t>si</t>
        </is>
      </c>
    </row>
    <row r="71">
      <c r="A71" t="inlineStr">
        <is>
          <t>LU0251807987</t>
        </is>
      </c>
      <c r="B71" t="inlineStr">
        <is>
          <t>LU0251807987.EUFUND</t>
        </is>
      </c>
      <c r="C71" t="inlineStr">
        <is>
          <t>FUND</t>
        </is>
      </c>
      <c r="D71" t="inlineStr">
        <is>
          <t>EQUITY</t>
        </is>
      </c>
      <c r="E71" t="inlineStr">
        <is>
          <t>fondos-bolsa</t>
        </is>
      </c>
      <c r="F71" t="inlineStr">
        <is>
          <t>BNP Paribas Funds Japan Small Cap Classic EUR Capitalisation</t>
        </is>
      </c>
      <c r="G71" t="inlineStr">
        <is>
          <t>EUR</t>
        </is>
      </c>
      <c r="H71" s="2" t="inlineStr">
        <is>
          <t>si</t>
        </is>
      </c>
    </row>
    <row r="72">
      <c r="A72" t="inlineStr">
        <is>
          <t>IE00B23S7K36</t>
        </is>
      </c>
      <c r="B72" t="inlineStr">
        <is>
          <t>IE00B23S7K36.EUFUND</t>
        </is>
      </c>
      <c r="C72" t="inlineStr">
        <is>
          <t>FUND</t>
        </is>
      </c>
      <c r="D72" t="inlineStr">
        <is>
          <t>EQUITY</t>
        </is>
      </c>
      <c r="E72" t="inlineStr">
        <is>
          <t>fondos-bolsa</t>
        </is>
      </c>
      <c r="F72" t="inlineStr">
        <is>
          <t>BNY Mellon Brazil Equity Fund EUR A Acc</t>
        </is>
      </c>
      <c r="G72" t="inlineStr">
        <is>
          <t>EUR</t>
        </is>
      </c>
      <c r="H72" s="2" t="inlineStr">
        <is>
          <t>si</t>
        </is>
      </c>
    </row>
    <row r="73">
      <c r="A73" t="inlineStr">
        <is>
          <t>IE00B3V93F27</t>
        </is>
      </c>
      <c r="B73" t="inlineStr">
        <is>
          <t>IE00B3V93F27.EUFUND</t>
        </is>
      </c>
      <c r="C73" t="inlineStr">
        <is>
          <t>FUND</t>
        </is>
      </c>
      <c r="D73" t="inlineStr">
        <is>
          <t>EQUITY</t>
        </is>
      </c>
      <c r="E73" t="inlineStr">
        <is>
          <t>fondos-bolsa</t>
        </is>
      </c>
      <c r="F73" t="inlineStr">
        <is>
          <t>BNY Mellon Global Equity Income Fund EUR A Acc</t>
        </is>
      </c>
      <c r="G73" t="inlineStr">
        <is>
          <t>EUR</t>
        </is>
      </c>
      <c r="H73" s="2" t="inlineStr">
        <is>
          <t>si</t>
        </is>
      </c>
    </row>
    <row r="74">
      <c r="A74" t="inlineStr">
        <is>
          <t>IE00BZ18VT34</t>
        </is>
      </c>
      <c r="B74" t="inlineStr">
        <is>
          <t>IE00BZ18VT34.EUFUND</t>
        </is>
      </c>
      <c r="C74" t="inlineStr">
        <is>
          <t>FUND</t>
        </is>
      </c>
      <c r="D74" t="inlineStr">
        <is>
          <t>EQUITY</t>
        </is>
      </c>
      <c r="E74" t="inlineStr">
        <is>
          <t>fondos-bolsa</t>
        </is>
      </c>
      <c r="F74" t="inlineStr">
        <is>
          <t>BNY Mellon Global Infrastructure Income Fund EUR A Inc</t>
        </is>
      </c>
      <c r="G74" t="inlineStr">
        <is>
          <t>EUR</t>
        </is>
      </c>
      <c r="H74" s="2" t="inlineStr">
        <is>
          <t>si</t>
        </is>
      </c>
    </row>
    <row r="75">
      <c r="A75" t="inlineStr">
        <is>
          <t>IE0003867441</t>
        </is>
      </c>
      <c r="B75" t="inlineStr">
        <is>
          <t>IE0003867441.EUFUND</t>
        </is>
      </c>
      <c r="C75" t="inlineStr">
        <is>
          <t>FUND</t>
        </is>
      </c>
      <c r="D75" t="inlineStr">
        <is>
          <t>EQUITY</t>
        </is>
      </c>
      <c r="E75" t="inlineStr">
        <is>
          <t>fondos-bolsa</t>
        </is>
      </c>
      <c r="F75" t="inlineStr">
        <is>
          <t>BNY Mellon Small Cap Euroland Fund EUR A Acc</t>
        </is>
      </c>
      <c r="G75" t="inlineStr">
        <is>
          <t>EUR</t>
        </is>
      </c>
      <c r="H75" s="2" t="inlineStr">
        <is>
          <t>si</t>
        </is>
      </c>
    </row>
    <row r="76">
      <c r="A76" t="inlineStr">
        <is>
          <t>IE0031574647</t>
        </is>
      </c>
      <c r="B76" t="inlineStr">
        <is>
          <t>IE0031574647.EUFUND</t>
        </is>
      </c>
      <c r="C76" t="inlineStr">
        <is>
          <t>FUND</t>
        </is>
      </c>
      <c r="D76" t="inlineStr">
        <is>
          <t>EQUITY</t>
        </is>
      </c>
      <c r="E76" t="inlineStr">
        <is>
          <t>fondos-bolsa</t>
        </is>
      </c>
      <c r="F76" t="inlineStr">
        <is>
          <t>Brandes European Value Fund A Euro Acc</t>
        </is>
      </c>
      <c r="G76" t="inlineStr">
        <is>
          <t>EUR</t>
        </is>
      </c>
      <c r="H76" s="2" t="inlineStr">
        <is>
          <t>si</t>
        </is>
      </c>
    </row>
    <row r="77">
      <c r="A77" t="inlineStr">
        <is>
          <t>IE0031573904</t>
        </is>
      </c>
      <c r="B77" t="inlineStr">
        <is>
          <t>IE0031573904.EUFUND</t>
        </is>
      </c>
      <c r="C77" t="inlineStr">
        <is>
          <t>FUND</t>
        </is>
      </c>
      <c r="D77" t="inlineStr">
        <is>
          <t>EQUITY</t>
        </is>
      </c>
      <c r="E77" t="inlineStr">
        <is>
          <t>fondos-bolsa</t>
        </is>
      </c>
      <c r="F77" t="inlineStr">
        <is>
          <t>Brandes Global Value Fund A Euro Acc</t>
        </is>
      </c>
      <c r="G77" t="inlineStr">
        <is>
          <t>EUR</t>
        </is>
      </c>
      <c r="H77" s="2" t="inlineStr">
        <is>
          <t>si</t>
        </is>
      </c>
    </row>
    <row r="78">
      <c r="A78" t="inlineStr">
        <is>
          <t>IE0031575271</t>
        </is>
      </c>
      <c r="B78" t="inlineStr">
        <is>
          <t>IE0031575271.EUFUND</t>
        </is>
      </c>
      <c r="C78" t="inlineStr">
        <is>
          <t>FUND</t>
        </is>
      </c>
      <c r="D78" t="inlineStr">
        <is>
          <t>EQUITY</t>
        </is>
      </c>
      <c r="E78" t="inlineStr">
        <is>
          <t>fondos-bolsa</t>
        </is>
      </c>
      <c r="F78" t="inlineStr">
        <is>
          <t>Brandes US Value Fund A Euro Acc</t>
        </is>
      </c>
      <c r="G78" t="inlineStr">
        <is>
          <t>EUR</t>
        </is>
      </c>
      <c r="H78" s="2" t="inlineStr">
        <is>
          <t>si</t>
        </is>
      </c>
    </row>
    <row r="79">
      <c r="A79" t="inlineStr">
        <is>
          <t>LU2278574558</t>
        </is>
      </c>
      <c r="B79" t="inlineStr">
        <is>
          <t>LU2278574558.EUFUND</t>
        </is>
      </c>
      <c r="C79" t="inlineStr">
        <is>
          <t>FUND</t>
        </is>
      </c>
      <c r="D79" t="inlineStr">
        <is>
          <t>EQUITY</t>
        </is>
      </c>
      <c r="E79" t="inlineStr">
        <is>
          <t>fondos-bolsa</t>
        </is>
      </c>
      <c r="F79" t="inlineStr">
        <is>
          <t>Buy &amp; Hold Luxembourg B&amp;H Equity Class 2</t>
        </is>
      </c>
      <c r="G79" t="inlineStr">
        <is>
          <t>EUR</t>
        </is>
      </c>
      <c r="H79" s="2" t="inlineStr">
        <is>
          <t>si</t>
        </is>
      </c>
    </row>
    <row r="80">
      <c r="A80" t="inlineStr">
        <is>
          <t>LU1120766388</t>
        </is>
      </c>
      <c r="B80" t="inlineStr">
        <is>
          <t>LU1120766388.EUFUND</t>
        </is>
      </c>
      <c r="C80" t="inlineStr">
        <is>
          <t>FUND</t>
        </is>
      </c>
      <c r="D80" t="inlineStr">
        <is>
          <t>EQUITY</t>
        </is>
      </c>
      <c r="E80" t="inlineStr">
        <is>
          <t>fondos-bolsa</t>
        </is>
      </c>
      <c r="F80" t="inlineStr">
        <is>
          <t>Candriam Equities L Biotechnology Class C EUR Cap</t>
        </is>
      </c>
      <c r="G80" t="inlineStr">
        <is>
          <t>EUR</t>
        </is>
      </c>
      <c r="H80" s="2" t="inlineStr">
        <is>
          <t>si</t>
        </is>
      </c>
    </row>
    <row r="81">
      <c r="A81" t="inlineStr">
        <is>
          <t>LU2050929277</t>
        </is>
      </c>
      <c r="B81" t="inlineStr">
        <is>
          <t>LU2050929277.EUFUND</t>
        </is>
      </c>
      <c r="C81" t="inlineStr">
        <is>
          <t>FUND</t>
        </is>
      </c>
      <c r="D81" t="inlineStr">
        <is>
          <t>EQUITY</t>
        </is>
      </c>
      <c r="E81" t="inlineStr">
        <is>
          <t>fondos-bolsa</t>
        </is>
      </c>
      <c r="F81" t="inlineStr">
        <is>
          <t>Capital Group New Economy Fund (LUX) B</t>
        </is>
      </c>
      <c r="G81" t="inlineStr">
        <is>
          <t>EUR</t>
        </is>
      </c>
      <c r="H81" s="2" t="inlineStr">
        <is>
          <t>si</t>
        </is>
      </c>
    </row>
    <row r="82">
      <c r="A82" t="inlineStr">
        <is>
          <t>LU1295551144</t>
        </is>
      </c>
      <c r="B82" t="inlineStr">
        <is>
          <t>LU1295551144.EUFUND</t>
        </is>
      </c>
      <c r="C82" t="inlineStr">
        <is>
          <t>FUND</t>
        </is>
      </c>
      <c r="D82" t="inlineStr">
        <is>
          <t>EQUITY</t>
        </is>
      </c>
      <c r="E82" t="inlineStr">
        <is>
          <t>fondos-bolsa</t>
        </is>
      </c>
      <c r="F82" t="inlineStr">
        <is>
          <t>Capital Group New Perspective Fund (LUX) B</t>
        </is>
      </c>
      <c r="G82" t="inlineStr">
        <is>
          <t>EUR</t>
        </is>
      </c>
      <c r="H82" s="2" t="inlineStr">
        <is>
          <t>si</t>
        </is>
      </c>
    </row>
    <row r="83">
      <c r="A83" t="inlineStr">
        <is>
          <t>LU1481179858</t>
        </is>
      </c>
      <c r="B83" t="inlineStr">
        <is>
          <t>LU1481179858.EUFUND</t>
        </is>
      </c>
      <c r="C83" t="inlineStr">
        <is>
          <t>FUND</t>
        </is>
      </c>
      <c r="D83" t="inlineStr">
        <is>
          <t>EQUITY</t>
        </is>
      </c>
      <c r="E83" t="inlineStr">
        <is>
          <t>fondos-bolsa</t>
        </is>
      </c>
      <c r="F83" t="inlineStr">
        <is>
          <t>Capital Group New World Fund (LUX) B</t>
        </is>
      </c>
      <c r="G83" t="inlineStr">
        <is>
          <t>EUR</t>
        </is>
      </c>
      <c r="H83" s="2" t="inlineStr">
        <is>
          <t>si</t>
        </is>
      </c>
    </row>
    <row r="84">
      <c r="A84" t="inlineStr">
        <is>
          <t>FR0010148981</t>
        </is>
      </c>
      <c r="B84" t="inlineStr">
        <is>
          <t>FR0010148981.EUFUND</t>
        </is>
      </c>
      <c r="C84" t="inlineStr">
        <is>
          <t>FUND</t>
        </is>
      </c>
      <c r="D84" t="inlineStr">
        <is>
          <t>EQUITY</t>
        </is>
      </c>
      <c r="E84" t="inlineStr">
        <is>
          <t>fondos-bolsa</t>
        </is>
      </c>
      <c r="F84" t="inlineStr">
        <is>
          <t>Carmignac Investissement A EUR Acc</t>
        </is>
      </c>
      <c r="G84" t="inlineStr">
        <is>
          <t>EUR</t>
        </is>
      </c>
      <c r="H84" s="2" t="inlineStr">
        <is>
          <t>si</t>
        </is>
      </c>
    </row>
    <row r="85">
      <c r="A85" t="inlineStr">
        <is>
          <t>FR0010312660</t>
        </is>
      </c>
      <c r="B85" t="inlineStr">
        <is>
          <t>FR0010312660.EUFUND</t>
        </is>
      </c>
      <c r="C85" t="inlineStr">
        <is>
          <t>FUND</t>
        </is>
      </c>
      <c r="D85" t="inlineStr">
        <is>
          <t>EQUITY</t>
        </is>
      </c>
      <c r="E85" t="inlineStr">
        <is>
          <t>fondos-bolsa</t>
        </is>
      </c>
      <c r="F85" t="inlineStr">
        <is>
          <t>Carmignac Investissement E EUR Acc</t>
        </is>
      </c>
      <c r="G85" t="inlineStr">
        <is>
          <t>EUR</t>
        </is>
      </c>
      <c r="H85" s="2" t="inlineStr">
        <is>
          <t>si</t>
        </is>
      </c>
    </row>
    <row r="86">
      <c r="A86" t="inlineStr">
        <is>
          <t>LU0294249692</t>
        </is>
      </c>
      <c r="B86" t="inlineStr">
        <is>
          <t>LU0294249692.EUFUND</t>
        </is>
      </c>
      <c r="C86" t="inlineStr">
        <is>
          <t>FUND</t>
        </is>
      </c>
      <c r="D86" t="inlineStr">
        <is>
          <t>EQUITY</t>
        </is>
      </c>
      <c r="E86" t="inlineStr">
        <is>
          <t>fondos-bolsa</t>
        </is>
      </c>
      <c r="F86" t="inlineStr">
        <is>
          <t>Carmignac Portfolio Grande Europe E EUR Acc</t>
        </is>
      </c>
      <c r="G86" t="inlineStr">
        <is>
          <t>EUR</t>
        </is>
      </c>
      <c r="H86" s="2" t="inlineStr">
        <is>
          <t>si</t>
        </is>
      </c>
    </row>
    <row r="87">
      <c r="A87" t="inlineStr">
        <is>
          <t>LU1299311164</t>
        </is>
      </c>
      <c r="B87" t="inlineStr">
        <is>
          <t>LU1299311164.EUFUND</t>
        </is>
      </c>
      <c r="C87" t="inlineStr">
        <is>
          <t>FUND</t>
        </is>
      </c>
      <c r="D87" t="inlineStr">
        <is>
          <t>EQUITY</t>
        </is>
      </c>
      <c r="E87" t="inlineStr">
        <is>
          <t>fondos-bolsa</t>
        </is>
      </c>
      <c r="F87" t="inlineStr">
        <is>
          <t>Carmignac Portfolio Investissement A EUR Acc</t>
        </is>
      </c>
      <c r="G87" t="inlineStr">
        <is>
          <t>EUR</t>
        </is>
      </c>
      <c r="H87" s="2" t="inlineStr">
        <is>
          <t>si</t>
        </is>
      </c>
    </row>
    <row r="88">
      <c r="A88" t="inlineStr">
        <is>
          <t>LU1299311834</t>
        </is>
      </c>
      <c r="B88" t="inlineStr">
        <is>
          <t>LU1299311834.EUFUND</t>
        </is>
      </c>
      <c r="C88" t="inlineStr">
        <is>
          <t>FUND</t>
        </is>
      </c>
      <c r="D88" t="inlineStr">
        <is>
          <t>EQUITY</t>
        </is>
      </c>
      <c r="E88" t="inlineStr">
        <is>
          <t>fondos-bolsa</t>
        </is>
      </c>
      <c r="F88" t="inlineStr">
        <is>
          <t>Carmignac Portfolio Investissement E EUR Acc</t>
        </is>
      </c>
      <c r="G88" t="inlineStr">
        <is>
          <t>EUR</t>
        </is>
      </c>
      <c r="H88" s="2" t="inlineStr">
        <is>
          <t>si</t>
        </is>
      </c>
    </row>
    <row r="89">
      <c r="A89" t="inlineStr">
        <is>
          <t>LU1317704135</t>
        </is>
      </c>
      <c r="B89" t="inlineStr">
        <is>
          <t>LU1317704135.EUFUND</t>
        </is>
      </c>
      <c r="C89" t="inlineStr">
        <is>
          <t>FUND</t>
        </is>
      </c>
      <c r="D89" t="inlineStr">
        <is>
          <t>EQUITY</t>
        </is>
      </c>
      <c r="E89" t="inlineStr">
        <is>
          <t>fondos-bolsa</t>
        </is>
      </c>
      <c r="F89" t="inlineStr">
        <is>
          <t>Carmignac Portfolio Long-Short European Equities E EUR Acc</t>
        </is>
      </c>
      <c r="G89" t="inlineStr">
        <is>
          <t>EUR</t>
        </is>
      </c>
      <c r="H89" s="2" t="inlineStr">
        <is>
          <t>si</t>
        </is>
      </c>
    </row>
    <row r="90">
      <c r="A90" t="inlineStr">
        <is>
          <t>LU0323041763</t>
        </is>
      </c>
      <c r="B90" t="inlineStr">
        <is>
          <t>LU0323041763.EUFUND</t>
        </is>
      </c>
      <c r="C90" t="inlineStr">
        <is>
          <t>FUND</t>
        </is>
      </c>
      <c r="D90" t="inlineStr">
        <is>
          <t>EQUITY</t>
        </is>
      </c>
      <c r="E90" t="inlineStr">
        <is>
          <t>fondos-bolsa</t>
        </is>
      </c>
      <c r="F90" t="inlineStr">
        <is>
          <t>Chahine Funds - Equity Europe R</t>
        </is>
      </c>
      <c r="G90" t="inlineStr">
        <is>
          <t>EUR</t>
        </is>
      </c>
      <c r="H90" s="2" t="inlineStr">
        <is>
          <t>si</t>
        </is>
      </c>
    </row>
    <row r="91">
      <c r="A91" t="inlineStr">
        <is>
          <t>LU1372006947</t>
        </is>
      </c>
      <c r="B91" t="inlineStr">
        <is>
          <t>LU1372006947.EUFUND</t>
        </is>
      </c>
      <c r="C91" t="inlineStr">
        <is>
          <t>FUND</t>
        </is>
      </c>
      <c r="D91" t="inlineStr">
        <is>
          <t>EQUITY</t>
        </is>
      </c>
      <c r="E91" t="inlineStr">
        <is>
          <t>fondos-bolsa</t>
        </is>
      </c>
      <c r="F91" t="inlineStr">
        <is>
          <t>Cobas LUX SICAV - Cobas Selection Fund Class P Acc EUR</t>
        </is>
      </c>
      <c r="G91" t="inlineStr">
        <is>
          <t>EUR</t>
        </is>
      </c>
      <c r="H91" s="2" t="inlineStr">
        <is>
          <t>si</t>
        </is>
      </c>
    </row>
    <row r="92">
      <c r="A92" t="inlineStr">
        <is>
          <t>IE0004766675</t>
        </is>
      </c>
      <c r="B92" t="inlineStr">
        <is>
          <t>IE0004766675.EUFUND</t>
        </is>
      </c>
      <c r="C92" t="inlineStr">
        <is>
          <t>FUND</t>
        </is>
      </c>
      <c r="D92" t="inlineStr">
        <is>
          <t>EQUITY</t>
        </is>
      </c>
      <c r="E92" t="inlineStr">
        <is>
          <t>fondos-bolsa</t>
        </is>
      </c>
      <c r="F92" t="inlineStr">
        <is>
          <t>Comgest Growth Europe EUR Acc</t>
        </is>
      </c>
      <c r="G92" t="inlineStr">
        <is>
          <t>EUR</t>
        </is>
      </c>
      <c r="H92" s="2" t="inlineStr">
        <is>
          <t>si</t>
        </is>
      </c>
    </row>
    <row r="93">
      <c r="A93" t="inlineStr">
        <is>
          <t>IE00B4ZJ4188</t>
        </is>
      </c>
      <c r="B93" t="inlineStr">
        <is>
          <t>IE00B4ZJ4188.EUFUND</t>
        </is>
      </c>
      <c r="C93" t="inlineStr">
        <is>
          <t>FUND</t>
        </is>
      </c>
      <c r="D93" t="inlineStr">
        <is>
          <t>EQUITY</t>
        </is>
      </c>
      <c r="E93" t="inlineStr">
        <is>
          <t>fondos-bolsa</t>
        </is>
      </c>
      <c r="F93" t="inlineStr">
        <is>
          <t>Comgest Growth Europe Opportunities EUR Acc</t>
        </is>
      </c>
      <c r="G93" t="inlineStr">
        <is>
          <t>EUR</t>
        </is>
      </c>
      <c r="H93" s="2" t="inlineStr">
        <is>
          <t>si</t>
        </is>
      </c>
    </row>
    <row r="94">
      <c r="A94" t="inlineStr">
        <is>
          <t>LU0570870567</t>
        </is>
      </c>
      <c r="B94" t="inlineStr">
        <is>
          <t>LU0570870567.EUFUND</t>
        </is>
      </c>
      <c r="C94" t="inlineStr">
        <is>
          <t>FUND</t>
        </is>
      </c>
      <c r="D94" t="inlineStr">
        <is>
          <t>EQUITY</t>
        </is>
      </c>
      <c r="E94" t="inlineStr">
        <is>
          <t>fondos-bolsa</t>
        </is>
      </c>
      <c r="F94" t="inlineStr">
        <is>
          <t>CT (Lux) - Global Smaller Companies AE (EUR Accumulation Shares)</t>
        </is>
      </c>
      <c r="G94" t="inlineStr">
        <is>
          <t>EUR</t>
        </is>
      </c>
      <c r="H94" s="2" t="inlineStr">
        <is>
          <t>si</t>
        </is>
      </c>
    </row>
    <row r="95">
      <c r="A95" t="inlineStr">
        <is>
          <t>LU0282719219</t>
        </is>
      </c>
      <c r="B95" t="inlineStr">
        <is>
          <t>LU0282719219.EUFUND</t>
        </is>
      </c>
      <c r="C95" t="inlineStr">
        <is>
          <t>FUND</t>
        </is>
      </c>
      <c r="D95" t="inlineStr">
        <is>
          <t>EQUITY</t>
        </is>
      </c>
      <c r="E95" t="inlineStr">
        <is>
          <t>fondos-bolsa</t>
        </is>
      </c>
      <c r="F95" t="inlineStr">
        <is>
          <t>CT (Lux) - Pan European Small Cap Opportunities Class AE (EUR Accumulation Shares)</t>
        </is>
      </c>
      <c r="G95" t="inlineStr">
        <is>
          <t>EUR</t>
        </is>
      </c>
      <c r="H95" s="2" t="inlineStr">
        <is>
          <t>si</t>
        </is>
      </c>
    </row>
    <row r="96">
      <c r="A96" t="inlineStr">
        <is>
          <t>LU1829329819</t>
        </is>
      </c>
      <c r="B96" t="inlineStr">
        <is>
          <t>LU1829329819.EUFUND</t>
        </is>
      </c>
      <c r="C96" t="inlineStr">
        <is>
          <t>FUND</t>
        </is>
      </c>
      <c r="D96" t="inlineStr">
        <is>
          <t>EQUITY</t>
        </is>
      </c>
      <c r="E96" t="inlineStr">
        <is>
          <t>fondos-bolsa</t>
        </is>
      </c>
      <c r="F96" t="inlineStr">
        <is>
          <t>CT (Lux) - Pan European Smaller Companies 1E (EUR Accumulation Shares)</t>
        </is>
      </c>
      <c r="G96" t="inlineStr">
        <is>
          <t>EUR</t>
        </is>
      </c>
      <c r="H96" s="2" t="inlineStr">
        <is>
          <t>si</t>
        </is>
      </c>
    </row>
    <row r="97">
      <c r="A97" t="inlineStr">
        <is>
          <t>LU0284396289</t>
        </is>
      </c>
      <c r="B97" t="inlineStr">
        <is>
          <t>LU0284396289.EUFUND</t>
        </is>
      </c>
      <c r="C97" t="inlineStr">
        <is>
          <t>FUND</t>
        </is>
      </c>
      <c r="D97" t="inlineStr">
        <is>
          <t>EQUITY</t>
        </is>
      </c>
      <c r="E97" t="inlineStr">
        <is>
          <t>fondos-bolsa</t>
        </is>
      </c>
      <c r="F97" t="inlineStr">
        <is>
          <t>DNCA Invest Value Europe Class B shares EUR</t>
        </is>
      </c>
      <c r="G97" t="inlineStr">
        <is>
          <t>EUR</t>
        </is>
      </c>
      <c r="H97" s="2" t="inlineStr">
        <is>
          <t>si</t>
        </is>
      </c>
    </row>
    <row r="98">
      <c r="A98" t="inlineStr">
        <is>
          <t>BE0946564383</t>
        </is>
      </c>
      <c r="B98" t="inlineStr">
        <is>
          <t>BE0946564383.EUFUND</t>
        </is>
      </c>
      <c r="C98" t="inlineStr">
        <is>
          <t>FUND</t>
        </is>
      </c>
      <c r="D98" t="inlineStr">
        <is>
          <t>EQUITY</t>
        </is>
      </c>
      <c r="E98" t="inlineStr">
        <is>
          <t>fondos-bolsa</t>
        </is>
      </c>
      <c r="F98" t="inlineStr">
        <is>
          <t>DPAM B - Equities NewGems Sustainable B Cap</t>
        </is>
      </c>
      <c r="G98" t="inlineStr">
        <is>
          <t>EUR</t>
        </is>
      </c>
      <c r="H98" s="2" t="inlineStr">
        <is>
          <t>si</t>
        </is>
      </c>
    </row>
    <row r="99">
      <c r="A99" t="inlineStr">
        <is>
          <t>BE0947853660</t>
        </is>
      </c>
      <c r="B99" t="inlineStr">
        <is>
          <t>BE0947853660.EUFUND</t>
        </is>
      </c>
      <c r="C99" t="inlineStr">
        <is>
          <t>FUND</t>
        </is>
      </c>
      <c r="D99" t="inlineStr">
        <is>
          <t>EQUITY</t>
        </is>
      </c>
      <c r="E99" t="inlineStr">
        <is>
          <t>fondos-bolsa</t>
        </is>
      </c>
      <c r="F99" t="inlineStr">
        <is>
          <t>DPAM B - Equities US Dividend Sustainable B EUR Cap</t>
        </is>
      </c>
      <c r="G99" t="inlineStr">
        <is>
          <t>EUR</t>
        </is>
      </c>
      <c r="H99" s="2" t="inlineStr">
        <is>
          <t>si</t>
        </is>
      </c>
    </row>
    <row r="100">
      <c r="A100" t="inlineStr">
        <is>
          <t>BE6213829094</t>
        </is>
      </c>
      <c r="B100" t="inlineStr">
        <is>
          <t>BE6213829094.EUFUND</t>
        </is>
      </c>
      <c r="C100" t="inlineStr">
        <is>
          <t>FUND</t>
        </is>
      </c>
      <c r="D100" t="inlineStr">
        <is>
          <t>EQUITY</t>
        </is>
      </c>
      <c r="E100" t="inlineStr">
        <is>
          <t>fondos-bolsa</t>
        </is>
      </c>
      <c r="F100" t="inlineStr">
        <is>
          <t>DPAM B - Real Estate Europe Dividend Sustainable B Cap</t>
        </is>
      </c>
      <c r="G100" t="inlineStr">
        <is>
          <t>EUR</t>
        </is>
      </c>
      <c r="H100" s="2" t="inlineStr">
        <is>
          <t>si</t>
        </is>
      </c>
    </row>
    <row r="101">
      <c r="A101" t="inlineStr">
        <is>
          <t>DE0008490962</t>
        </is>
      </c>
      <c r="B101" t="inlineStr">
        <is>
          <t>DE0008490962.EUFUND</t>
        </is>
      </c>
      <c r="C101" t="inlineStr">
        <is>
          <t>FUND</t>
        </is>
      </c>
      <c r="D101" t="inlineStr">
        <is>
          <t>EQUITY</t>
        </is>
      </c>
      <c r="E101" t="inlineStr">
        <is>
          <t>fondos-bolsa</t>
        </is>
      </c>
      <c r="F101" t="inlineStr">
        <is>
          <t>DWS Deutschland LC</t>
        </is>
      </c>
      <c r="G101" t="inlineStr">
        <is>
          <t>EUR</t>
        </is>
      </c>
      <c r="H101" s="2" t="inlineStr">
        <is>
          <t>si</t>
        </is>
      </c>
    </row>
    <row r="102">
      <c r="A102" t="inlineStr">
        <is>
          <t>LU0616856935</t>
        </is>
      </c>
      <c r="B102" t="inlineStr">
        <is>
          <t>LU0616856935.EUFUND</t>
        </is>
      </c>
      <c r="C102" t="inlineStr">
        <is>
          <t>FUND</t>
        </is>
      </c>
      <c r="D102" t="inlineStr">
        <is>
          <t>EQUITY</t>
        </is>
      </c>
      <c r="E102" t="inlineStr">
        <is>
          <t>fondos-bolsa</t>
        </is>
      </c>
      <c r="F102" t="inlineStr">
        <is>
          <t>DWS Invest Brazilian Equities LC</t>
        </is>
      </c>
      <c r="G102" t="inlineStr">
        <is>
          <t>EUR</t>
        </is>
      </c>
      <c r="H102" s="2" t="inlineStr">
        <is>
          <t>si</t>
        </is>
      </c>
    </row>
    <row r="103">
      <c r="A103" t="inlineStr">
        <is>
          <t>LU0616857313</t>
        </is>
      </c>
      <c r="B103" t="inlineStr">
        <is>
          <t>LU0616857313.EUFUND</t>
        </is>
      </c>
      <c r="C103" t="inlineStr">
        <is>
          <t>FUND</t>
        </is>
      </c>
      <c r="D103" t="inlineStr">
        <is>
          <t>EQUITY</t>
        </is>
      </c>
      <c r="E103" t="inlineStr">
        <is>
          <t>fondos-bolsa</t>
        </is>
      </c>
      <c r="F103" t="inlineStr">
        <is>
          <t>DWS Invest Brazilian Equities NC</t>
        </is>
      </c>
      <c r="G103" t="inlineStr">
        <is>
          <t>EUR</t>
        </is>
      </c>
      <c r="H103" s="2" t="inlineStr">
        <is>
          <t>si</t>
        </is>
      </c>
    </row>
    <row r="104">
      <c r="A104" t="inlineStr">
        <is>
          <t>LU1278917452</t>
        </is>
      </c>
      <c r="B104" t="inlineStr">
        <is>
          <t>LU1278917452.EUFUND</t>
        </is>
      </c>
      <c r="C104" t="inlineStr">
        <is>
          <t>FUND</t>
        </is>
      </c>
      <c r="D104" t="inlineStr">
        <is>
          <t>EQUITY</t>
        </is>
      </c>
      <c r="E104" t="inlineStr">
        <is>
          <t>fondos-bolsa</t>
        </is>
      </c>
      <c r="F104" t="inlineStr">
        <is>
          <t>DWS Invest CROCI Sectors Plus LC</t>
        </is>
      </c>
      <c r="G104" t="inlineStr">
        <is>
          <t>EUR</t>
        </is>
      </c>
      <c r="H104" s="2" t="inlineStr">
        <is>
          <t>si</t>
        </is>
      </c>
    </row>
    <row r="105">
      <c r="A105" t="inlineStr">
        <is>
          <t>LU1278917536</t>
        </is>
      </c>
      <c r="B105" t="inlineStr">
        <is>
          <t>LU1278917536.EUFUND</t>
        </is>
      </c>
      <c r="C105" t="inlineStr">
        <is>
          <t>FUND</t>
        </is>
      </c>
      <c r="D105" t="inlineStr">
        <is>
          <t>EQUITY</t>
        </is>
      </c>
      <c r="E105" t="inlineStr">
        <is>
          <t>fondos-bolsa</t>
        </is>
      </c>
      <c r="F105" t="inlineStr">
        <is>
          <t>DWS Invest CROCI Sectors Plus NC</t>
        </is>
      </c>
      <c r="G105" t="inlineStr">
        <is>
          <t>EUR</t>
        </is>
      </c>
      <c r="H105" s="2" t="inlineStr">
        <is>
          <t>si</t>
        </is>
      </c>
    </row>
    <row r="106">
      <c r="A106" t="inlineStr">
        <is>
          <t>LU1769941003</t>
        </is>
      </c>
      <c r="B106" t="inlineStr">
        <is>
          <t>LU1769941003.EUFUND</t>
        </is>
      </c>
      <c r="C106" t="inlineStr">
        <is>
          <t>FUND</t>
        </is>
      </c>
      <c r="D106" t="inlineStr">
        <is>
          <t>EQUITY</t>
        </is>
      </c>
      <c r="E106" t="inlineStr">
        <is>
          <t>fondos-bolsa</t>
        </is>
      </c>
      <c r="F106" t="inlineStr">
        <is>
          <t>DWS Invest CROCI World Value LC</t>
        </is>
      </c>
      <c r="G106" t="inlineStr">
        <is>
          <t>EUR</t>
        </is>
      </c>
      <c r="H106" s="2" t="inlineStr">
        <is>
          <t>si</t>
        </is>
      </c>
    </row>
    <row r="107">
      <c r="A107" t="inlineStr">
        <is>
          <t>LU0273159177</t>
        </is>
      </c>
      <c r="B107" t="inlineStr">
        <is>
          <t>LU0273159177.EUFUND</t>
        </is>
      </c>
      <c r="C107" t="inlineStr">
        <is>
          <t>FUND</t>
        </is>
      </c>
      <c r="D107" t="inlineStr">
        <is>
          <t>EQUITY</t>
        </is>
      </c>
      <c r="E107" t="inlineStr">
        <is>
          <t>fondos-bolsa</t>
        </is>
      </c>
      <c r="F107" t="inlineStr">
        <is>
          <t>DWS Invest Gold and Precious Metals Equities LC</t>
        </is>
      </c>
      <c r="G107" t="inlineStr">
        <is>
          <t>EUR</t>
        </is>
      </c>
      <c r="H107" s="2" t="inlineStr">
        <is>
          <t>si</t>
        </is>
      </c>
    </row>
    <row r="108">
      <c r="A108" t="inlineStr">
        <is>
          <t>LU0273148055</t>
        </is>
      </c>
      <c r="B108" t="inlineStr">
        <is>
          <t>LU0273148055.EUFUND</t>
        </is>
      </c>
      <c r="C108" t="inlineStr">
        <is>
          <t>FUND</t>
        </is>
      </c>
      <c r="D108" t="inlineStr">
        <is>
          <t>EQUITY</t>
        </is>
      </c>
      <c r="E108" t="inlineStr">
        <is>
          <t>fondos-bolsa</t>
        </is>
      </c>
      <c r="F108" t="inlineStr">
        <is>
          <t>DWS Invest Gold and Precious Metals Equities NC</t>
        </is>
      </c>
      <c r="G108" t="inlineStr">
        <is>
          <t>EUR</t>
        </is>
      </c>
      <c r="H108" s="2" t="inlineStr">
        <is>
          <t>si</t>
        </is>
      </c>
    </row>
    <row r="109">
      <c r="A109" t="inlineStr">
        <is>
          <t>LU0826452848</t>
        </is>
      </c>
      <c r="B109" t="inlineStr">
        <is>
          <t>LU0826452848.EUFUND</t>
        </is>
      </c>
      <c r="C109" t="inlineStr">
        <is>
          <t>FUND</t>
        </is>
      </c>
      <c r="D109" t="inlineStr">
        <is>
          <t>EQUITY</t>
        </is>
      </c>
      <c r="E109" t="inlineStr">
        <is>
          <t>fondos-bolsa</t>
        </is>
      </c>
      <c r="F109" t="inlineStr">
        <is>
          <t>DWS Invest II Global Equity High Conviction Fund LC</t>
        </is>
      </c>
      <c r="G109" t="inlineStr">
        <is>
          <t>EUR</t>
        </is>
      </c>
      <c r="H109" s="2" t="inlineStr">
        <is>
          <t>si</t>
        </is>
      </c>
    </row>
    <row r="110">
      <c r="A110" t="inlineStr">
        <is>
          <t>LU0826453226</t>
        </is>
      </c>
      <c r="B110" t="inlineStr">
        <is>
          <t>LU0826453226.EUFUND</t>
        </is>
      </c>
      <c r="C110" t="inlineStr">
        <is>
          <t>FUND</t>
        </is>
      </c>
      <c r="D110" t="inlineStr">
        <is>
          <t>EQUITY</t>
        </is>
      </c>
      <c r="E110" t="inlineStr">
        <is>
          <t>fondos-bolsa</t>
        </is>
      </c>
      <c r="F110" t="inlineStr">
        <is>
          <t>DWS Invest II Global Equity High Conviction Fund NC</t>
        </is>
      </c>
      <c r="G110" t="inlineStr">
        <is>
          <t>EUR</t>
        </is>
      </c>
      <c r="H110" s="2" t="inlineStr">
        <is>
          <t>si</t>
        </is>
      </c>
    </row>
    <row r="111">
      <c r="A111" t="inlineStr">
        <is>
          <t>LU0399356780</t>
        </is>
      </c>
      <c r="B111" t="inlineStr">
        <is>
          <t>LU0399356780.EUFUND</t>
        </is>
      </c>
      <c r="C111" t="inlineStr">
        <is>
          <t>FUND</t>
        </is>
      </c>
      <c r="D111" t="inlineStr">
        <is>
          <t>EQUITY</t>
        </is>
      </c>
      <c r="E111" t="inlineStr">
        <is>
          <t>fondos-bolsa</t>
        </is>
      </c>
      <c r="F111" t="inlineStr">
        <is>
          <t>DWS Invest Latin American Equities LC</t>
        </is>
      </c>
      <c r="G111" t="inlineStr">
        <is>
          <t>EUR</t>
        </is>
      </c>
      <c r="H111" s="2" t="inlineStr">
        <is>
          <t>si</t>
        </is>
      </c>
    </row>
    <row r="112">
      <c r="A112" t="inlineStr">
        <is>
          <t>LU0813337002</t>
        </is>
      </c>
      <c r="B112" t="inlineStr">
        <is>
          <t>LU0813337002.EUFUND</t>
        </is>
      </c>
      <c r="C112" t="inlineStr">
        <is>
          <t>FUND</t>
        </is>
      </c>
      <c r="D112" t="inlineStr">
        <is>
          <t>EQUITY</t>
        </is>
      </c>
      <c r="E112" t="inlineStr">
        <is>
          <t>fondos-bolsa</t>
        </is>
      </c>
      <c r="F112" t="inlineStr">
        <is>
          <t>DWS Invest Latin American Equities NC</t>
        </is>
      </c>
      <c r="G112" t="inlineStr">
        <is>
          <t>EUR</t>
        </is>
      </c>
      <c r="H112" s="2" t="inlineStr">
        <is>
          <t>si</t>
        </is>
      </c>
    </row>
    <row r="113">
      <c r="A113" t="inlineStr">
        <is>
          <t>FR0010321810</t>
        </is>
      </c>
      <c r="B113" t="inlineStr">
        <is>
          <t>FR0010321810.EUFUND</t>
        </is>
      </c>
      <c r="C113" t="inlineStr">
        <is>
          <t>FUND</t>
        </is>
      </c>
      <c r="D113" t="inlineStr">
        <is>
          <t>EQUITY</t>
        </is>
      </c>
      <c r="E113" t="inlineStr">
        <is>
          <t>fondos-bolsa</t>
        </is>
      </c>
      <c r="F113" t="inlineStr">
        <is>
          <t>Echiquier Agenor Mid Cap Europe A</t>
        </is>
      </c>
      <c r="G113" t="inlineStr">
        <is>
          <t>EUR</t>
        </is>
      </c>
      <c r="H113" s="2" t="inlineStr">
        <is>
          <t>si</t>
        </is>
      </c>
    </row>
    <row r="114">
      <c r="A114" t="inlineStr">
        <is>
          <t>LU1819480192</t>
        </is>
      </c>
      <c r="B114" t="inlineStr">
        <is>
          <t>LU1819480192.EUFUND</t>
        </is>
      </c>
      <c r="C114" t="inlineStr">
        <is>
          <t>FUND</t>
        </is>
      </c>
      <c r="D114" t="inlineStr">
        <is>
          <t>EQUITY</t>
        </is>
      </c>
      <c r="E114" t="inlineStr">
        <is>
          <t>fondos-bolsa</t>
        </is>
      </c>
      <c r="F114" t="inlineStr">
        <is>
          <t>Echiquier Artificial Intelligence B EUR</t>
        </is>
      </c>
      <c r="G114" t="inlineStr">
        <is>
          <t>EUR</t>
        </is>
      </c>
      <c r="H114" s="2" t="inlineStr">
        <is>
          <t>si</t>
        </is>
      </c>
    </row>
    <row r="115">
      <c r="A115" t="inlineStr">
        <is>
          <t>FR0010859769</t>
        </is>
      </c>
      <c r="B115" t="inlineStr">
        <is>
          <t>FR0010859769.EUFUND</t>
        </is>
      </c>
      <c r="C115" t="inlineStr">
        <is>
          <t>FUND</t>
        </is>
      </c>
      <c r="D115" t="inlineStr">
        <is>
          <t>EQUITY</t>
        </is>
      </c>
      <c r="E115" t="inlineStr">
        <is>
          <t>fondos-bolsa</t>
        </is>
      </c>
      <c r="F115" t="inlineStr">
        <is>
          <t>Echiquier World Equity Growth A</t>
        </is>
      </c>
      <c r="G115" t="inlineStr">
        <is>
          <t>EUR</t>
        </is>
      </c>
      <c r="H115" s="2" t="inlineStr">
        <is>
          <t>si</t>
        </is>
      </c>
    </row>
    <row r="116">
      <c r="A116" t="inlineStr">
        <is>
          <t>LU0995386439</t>
        </is>
      </c>
      <c r="B116" t="inlineStr">
        <is>
          <t>LU0995386439.EUFUND</t>
        </is>
      </c>
      <c r="C116" t="inlineStr">
        <is>
          <t>FUND</t>
        </is>
      </c>
      <c r="D116" t="inlineStr">
        <is>
          <t>EQUITY</t>
        </is>
      </c>
      <c r="E116" t="inlineStr">
        <is>
          <t>fondos-bolsa</t>
        </is>
      </c>
      <c r="F116" t="inlineStr">
        <is>
          <t>EDM Inversion/Spanish Equity R EUR</t>
        </is>
      </c>
      <c r="G116" t="inlineStr">
        <is>
          <t>EUR</t>
        </is>
      </c>
      <c r="H116" s="2" t="inlineStr">
        <is>
          <t>si</t>
        </is>
      </c>
    </row>
    <row r="117">
      <c r="A117" t="inlineStr">
        <is>
          <t>LU1244893696</t>
        </is>
      </c>
      <c r="B117" t="inlineStr">
        <is>
          <t>LU1244893696.EUFUND</t>
        </is>
      </c>
      <c r="C117" t="inlineStr">
        <is>
          <t>FUND</t>
        </is>
      </c>
      <c r="D117" t="inlineStr">
        <is>
          <t>EQUITY</t>
        </is>
      </c>
      <c r="E117" t="inlineStr">
        <is>
          <t>fondos-bolsa</t>
        </is>
      </c>
      <c r="F117" t="inlineStr">
        <is>
          <t>Edmond de Rothschild Fund - Big Data A-EUR accumulating</t>
        </is>
      </c>
      <c r="G117" t="inlineStr">
        <is>
          <t>EUR</t>
        </is>
      </c>
      <c r="H117" s="2" t="inlineStr">
        <is>
          <t>si</t>
        </is>
      </c>
    </row>
    <row r="118">
      <c r="A118" t="inlineStr">
        <is>
          <t>LU1244895394</t>
        </is>
      </c>
      <c r="B118" t="inlineStr">
        <is>
          <t>LU1244895394.EUFUND</t>
        </is>
      </c>
      <c r="C118" t="inlineStr">
        <is>
          <t>FUND</t>
        </is>
      </c>
      <c r="D118" t="inlineStr">
        <is>
          <t>EQUITY</t>
        </is>
      </c>
      <c r="E118" t="inlineStr">
        <is>
          <t>fondos-bolsa</t>
        </is>
      </c>
      <c r="F118" t="inlineStr">
        <is>
          <t>Edmond de Rothschild Fund - Big Data R EUR</t>
        </is>
      </c>
      <c r="G118" t="inlineStr">
        <is>
          <t>EUR</t>
        </is>
      </c>
      <c r="H118" s="2" t="inlineStr">
        <is>
          <t>si</t>
        </is>
      </c>
    </row>
    <row r="119">
      <c r="A119" t="inlineStr">
        <is>
          <t>LU1103303167</t>
        </is>
      </c>
      <c r="B119" t="inlineStr">
        <is>
          <t>LU1103303167.EUFUND</t>
        </is>
      </c>
      <c r="C119" t="inlineStr">
        <is>
          <t>FUND</t>
        </is>
      </c>
      <c r="D119" t="inlineStr">
        <is>
          <t>EQUITY</t>
        </is>
      </c>
      <c r="E119" t="inlineStr">
        <is>
          <t>fondos-bolsa</t>
        </is>
      </c>
      <c r="F119" t="inlineStr">
        <is>
          <t>Edmond de Rothschild Fund - US Value A EUR</t>
        </is>
      </c>
      <c r="G119" t="inlineStr">
        <is>
          <t>EUR</t>
        </is>
      </c>
      <c r="H119" s="2" t="inlineStr">
        <is>
          <t>si</t>
        </is>
      </c>
    </row>
    <row r="120">
      <c r="A120" t="inlineStr">
        <is>
          <t>LU1111642820</t>
        </is>
      </c>
      <c r="B120" t="inlineStr">
        <is>
          <t>LU1111642820.EUFUND</t>
        </is>
      </c>
      <c r="C120" t="inlineStr">
        <is>
          <t>FUND</t>
        </is>
      </c>
      <c r="D120" t="inlineStr">
        <is>
          <t>EQUITY</t>
        </is>
      </c>
      <c r="E120" t="inlineStr">
        <is>
          <t>fondos-bolsa</t>
        </is>
      </c>
      <c r="F120" t="inlineStr">
        <is>
          <t>Eleva European Selection A2 EUR acc</t>
        </is>
      </c>
      <c r="G120" t="inlineStr">
        <is>
          <t>EUR</t>
        </is>
      </c>
      <c r="H120" s="2" t="inlineStr">
        <is>
          <t>si</t>
        </is>
      </c>
    </row>
    <row r="121">
      <c r="A121" t="inlineStr">
        <is>
          <t>ES0167238023</t>
        </is>
      </c>
      <c r="B121" t="inlineStr">
        <is>
          <t>ES0167238023.EUFUND</t>
        </is>
      </c>
      <c r="C121" t="inlineStr">
        <is>
          <t>FUND</t>
        </is>
      </c>
      <c r="D121" t="inlineStr">
        <is>
          <t>EQUITY</t>
        </is>
      </c>
      <c r="E121" t="inlineStr">
        <is>
          <t>fondos-bolsa</t>
        </is>
      </c>
      <c r="F121" t="inlineStr">
        <is>
          <t>ESTELA GLOBAL EQUITIES  FI</t>
        </is>
      </c>
      <c r="G121" t="inlineStr">
        <is>
          <t>EUR</t>
        </is>
      </c>
      <c r="H121" s="2" t="inlineStr">
        <is>
          <t>si</t>
        </is>
      </c>
    </row>
    <row r="122">
      <c r="A122" t="inlineStr">
        <is>
          <t>IE00B88WFS66</t>
        </is>
      </c>
      <c r="B122" t="inlineStr">
        <is>
          <t>IE00B88WFS66.EUFUND</t>
        </is>
      </c>
      <c r="C122" t="inlineStr">
        <is>
          <t>FUND</t>
        </is>
      </c>
      <c r="D122" t="inlineStr">
        <is>
          <t>EQUITY</t>
        </is>
      </c>
      <c r="E122" t="inlineStr">
        <is>
          <t>fondos-bolsa</t>
        </is>
      </c>
      <c r="F122" t="inlineStr">
        <is>
          <t>Federated Hermes Asia ex-Japan Equity Fund Class R EUR Accumulating</t>
        </is>
      </c>
      <c r="G122" t="inlineStr">
        <is>
          <t>EUR</t>
        </is>
      </c>
      <c r="H122" s="2" t="inlineStr">
        <is>
          <t>si</t>
        </is>
      </c>
    </row>
    <row r="123">
      <c r="A123" t="inlineStr">
        <is>
          <t>LU2376061086</t>
        </is>
      </c>
      <c r="B123" t="inlineStr">
        <is>
          <t>LU2376061086.EUFUND</t>
        </is>
      </c>
      <c r="C123" t="inlineStr">
        <is>
          <t>FUND</t>
        </is>
      </c>
      <c r="D123" t="inlineStr">
        <is>
          <t>EQUITY</t>
        </is>
      </c>
      <c r="E123" t="inlineStr">
        <is>
          <t>fondos-bolsa</t>
        </is>
      </c>
      <c r="F123" t="inlineStr">
        <is>
          <t>FF - Climate Solutions Fund A-Acc-EUR</t>
        </is>
      </c>
      <c r="G123" t="inlineStr">
        <is>
          <t>EUR</t>
        </is>
      </c>
      <c r="H123" s="2" t="inlineStr">
        <is>
          <t>si</t>
        </is>
      </c>
    </row>
    <row r="124">
      <c r="A124" t="inlineStr">
        <is>
          <t>LU2348336004</t>
        </is>
      </c>
      <c r="B124" t="inlineStr">
        <is>
          <t>LU2348336004.EUFUND</t>
        </is>
      </c>
      <c r="C124" t="inlineStr">
        <is>
          <t>FUND</t>
        </is>
      </c>
      <c r="D124" t="inlineStr">
        <is>
          <t>EQUITY</t>
        </is>
      </c>
      <c r="E124" t="inlineStr">
        <is>
          <t>fondos-bolsa</t>
        </is>
      </c>
      <c r="F124" t="inlineStr">
        <is>
          <t>FF - Climate Solutions Fund E-ACC-EUR</t>
        </is>
      </c>
      <c r="G124" t="inlineStr">
        <is>
          <t>EUR</t>
        </is>
      </c>
      <c r="H124" s="2" t="inlineStr">
        <is>
          <t>si</t>
        </is>
      </c>
    </row>
    <row r="125">
      <c r="A125" t="inlineStr">
        <is>
          <t>LU0261951957</t>
        </is>
      </c>
      <c r="B125" t="inlineStr">
        <is>
          <t>LU0261951957.EUFUND</t>
        </is>
      </c>
      <c r="C125" t="inlineStr">
        <is>
          <t>FUND</t>
        </is>
      </c>
      <c r="D125" t="inlineStr">
        <is>
          <t>EQUITY</t>
        </is>
      </c>
      <c r="E125" t="inlineStr">
        <is>
          <t>fondos-bolsa</t>
        </is>
      </c>
      <c r="F125" t="inlineStr">
        <is>
          <t>FF - Global Dividend Plus Fund A-Acc-EUR</t>
        </is>
      </c>
      <c r="G125" t="inlineStr">
        <is>
          <t>EUR</t>
        </is>
      </c>
      <c r="H125" s="2" t="inlineStr">
        <is>
          <t>si</t>
        </is>
      </c>
    </row>
    <row r="126">
      <c r="A126" t="inlineStr">
        <is>
          <t>LU1206943596</t>
        </is>
      </c>
      <c r="B126" t="inlineStr">
        <is>
          <t>LU1206943596.EUFUND</t>
        </is>
      </c>
      <c r="C126" t="inlineStr">
        <is>
          <t>FUND</t>
        </is>
      </c>
      <c r="D126" t="inlineStr">
        <is>
          <t>EQUITY</t>
        </is>
      </c>
      <c r="E126" t="inlineStr">
        <is>
          <t>fondos-bolsa</t>
        </is>
      </c>
      <c r="F126" t="inlineStr">
        <is>
          <t>Fidelity Active Strategy - FAST - Emerging Markets Fund A-ACC-EUR</t>
        </is>
      </c>
      <c r="G126" t="inlineStr">
        <is>
          <t>EUR</t>
        </is>
      </c>
      <c r="H126" s="2" t="inlineStr">
        <is>
          <t>si</t>
        </is>
      </c>
    </row>
    <row r="127">
      <c r="A127" t="inlineStr">
        <is>
          <t>LU0202403266</t>
        </is>
      </c>
      <c r="B127" t="inlineStr">
        <is>
          <t>LU0202403266.EUFUND</t>
        </is>
      </c>
      <c r="C127" t="inlineStr">
        <is>
          <t>FUND</t>
        </is>
      </c>
      <c r="D127" t="inlineStr">
        <is>
          <t>EQUITY</t>
        </is>
      </c>
      <c r="E127" t="inlineStr">
        <is>
          <t>fondos-bolsa</t>
        </is>
      </c>
      <c r="F127" t="inlineStr">
        <is>
          <t>Fidelity Active Strategy - FAST - Europe Fund A-ACC-EUR</t>
        </is>
      </c>
      <c r="G127" t="inlineStr">
        <is>
          <t>EUR</t>
        </is>
      </c>
      <c r="H127" s="2" t="inlineStr">
        <is>
          <t>si</t>
        </is>
      </c>
    </row>
    <row r="128">
      <c r="A128" t="inlineStr">
        <is>
          <t>LU0348529792</t>
        </is>
      </c>
      <c r="B128" t="inlineStr">
        <is>
          <t>LU0348529792.EUFUND</t>
        </is>
      </c>
      <c r="C128" t="inlineStr">
        <is>
          <t>FUND</t>
        </is>
      </c>
      <c r="D128" t="inlineStr">
        <is>
          <t>EQUITY</t>
        </is>
      </c>
      <c r="E128" t="inlineStr">
        <is>
          <t>fondos-bolsa</t>
        </is>
      </c>
      <c r="F128" t="inlineStr">
        <is>
          <t>Fidelity Active Strategy - FAST - Europe Fund E-ACC-EUR</t>
        </is>
      </c>
      <c r="G128" t="inlineStr">
        <is>
          <t>EUR</t>
        </is>
      </c>
      <c r="H128" s="2" t="inlineStr">
        <is>
          <t>si</t>
        </is>
      </c>
    </row>
    <row r="129">
      <c r="A129" t="inlineStr">
        <is>
          <t>LU2210151341</t>
        </is>
      </c>
      <c r="B129" t="inlineStr">
        <is>
          <t>LU2210151341.EUFUND</t>
        </is>
      </c>
      <c r="C129" t="inlineStr">
        <is>
          <t>FUND</t>
        </is>
      </c>
      <c r="D129" t="inlineStr">
        <is>
          <t>EQUITY</t>
        </is>
      </c>
      <c r="E129" t="inlineStr">
        <is>
          <t>fondos-bolsa</t>
        </is>
      </c>
      <c r="F129" t="inlineStr">
        <is>
          <t>Fidelity Funds - Absolute Return Global Equity Fund A-PF-Acc-Euro (Euro/USD hedged)</t>
        </is>
      </c>
      <c r="G129" t="inlineStr">
        <is>
          <t>EUR</t>
        </is>
      </c>
      <c r="H129" s="2" t="inlineStr">
        <is>
          <t>si</t>
        </is>
      </c>
    </row>
    <row r="130">
      <c r="A130" t="inlineStr">
        <is>
          <t>LU0115759606</t>
        </is>
      </c>
      <c r="B130" t="inlineStr">
        <is>
          <t>LU0115759606.EUFUND</t>
        </is>
      </c>
      <c r="C130" t="inlineStr">
        <is>
          <t>FUND</t>
        </is>
      </c>
      <c r="D130" t="inlineStr">
        <is>
          <t>EQUITY</t>
        </is>
      </c>
      <c r="E130" t="inlineStr">
        <is>
          <t>fondos-bolsa</t>
        </is>
      </c>
      <c r="F130" t="inlineStr">
        <is>
          <t>Fidelity Funds - America Fund E-Acc-EUR</t>
        </is>
      </c>
      <c r="G130" t="inlineStr">
        <is>
          <t>EUR</t>
        </is>
      </c>
      <c r="H130" s="2" t="inlineStr">
        <is>
          <t>si</t>
        </is>
      </c>
    </row>
    <row r="131">
      <c r="A131" t="inlineStr">
        <is>
          <t>LU0345361124</t>
        </is>
      </c>
      <c r="B131" t="inlineStr">
        <is>
          <t>LU0345361124.EUFUND</t>
        </is>
      </c>
      <c r="C131" t="inlineStr">
        <is>
          <t>FUND</t>
        </is>
      </c>
      <c r="D131" t="inlineStr">
        <is>
          <t>EQUITY</t>
        </is>
      </c>
      <c r="E131" t="inlineStr">
        <is>
          <t>fondos-bolsa</t>
        </is>
      </c>
      <c r="F131" t="inlineStr">
        <is>
          <t>Fidelity Funds - Asia Pacific Opportunities Fund A-Acc-EUR</t>
        </is>
      </c>
      <c r="G131" t="inlineStr">
        <is>
          <t>EUR</t>
        </is>
      </c>
      <c r="H131" s="2" t="inlineStr">
        <is>
          <t>si</t>
        </is>
      </c>
    </row>
    <row r="132">
      <c r="A132" t="inlineStr">
        <is>
          <t>LU0702159772</t>
        </is>
      </c>
      <c r="B132" t="inlineStr">
        <is>
          <t>LU0702159772.EUFUND</t>
        </is>
      </c>
      <c r="C132" t="inlineStr">
        <is>
          <t>FUND</t>
        </is>
      </c>
      <c r="D132" t="inlineStr">
        <is>
          <t>EQUITY</t>
        </is>
      </c>
      <c r="E132" t="inlineStr">
        <is>
          <t>fondos-bolsa</t>
        </is>
      </c>
      <c r="F132" t="inlineStr">
        <is>
          <t>Fidelity Funds - Asian Smaller Companies Fund A-Acc-EUR</t>
        </is>
      </c>
      <c r="G132" t="inlineStr">
        <is>
          <t>EUR</t>
        </is>
      </c>
      <c r="H132" s="2" t="inlineStr">
        <is>
          <t>si</t>
        </is>
      </c>
    </row>
    <row r="133">
      <c r="A133" t="inlineStr">
        <is>
          <t>LU0778324086</t>
        </is>
      </c>
      <c r="B133" t="inlineStr">
        <is>
          <t>LU0778324086.EUFUND</t>
        </is>
      </c>
      <c r="C133" t="inlineStr">
        <is>
          <t>FUND</t>
        </is>
      </c>
      <c r="D133" t="inlineStr">
        <is>
          <t>EQUITY</t>
        </is>
      </c>
      <c r="E133" t="inlineStr">
        <is>
          <t>fondos-bolsa</t>
        </is>
      </c>
      <c r="F133" t="inlineStr">
        <is>
          <t>Fidelity Funds - Asian Special Situations Fund E-Acc-EUR</t>
        </is>
      </c>
      <c r="G133" t="inlineStr">
        <is>
          <t>EUR</t>
        </is>
      </c>
      <c r="H133" s="2" t="inlineStr">
        <is>
          <t>si</t>
        </is>
      </c>
    </row>
    <row r="134">
      <c r="A134" t="inlineStr">
        <is>
          <t>LU0594300096</t>
        </is>
      </c>
      <c r="B134" t="inlineStr">
        <is>
          <t>LU0594300096.EUFUND</t>
        </is>
      </c>
      <c r="C134" t="inlineStr">
        <is>
          <t>FUND</t>
        </is>
      </c>
      <c r="D134" t="inlineStr">
        <is>
          <t>EQUITY</t>
        </is>
      </c>
      <c r="E134" t="inlineStr">
        <is>
          <t>fondos-bolsa</t>
        </is>
      </c>
      <c r="F134" t="inlineStr">
        <is>
          <t>Fidelity Funds - China Consumer Fund A-Acc-EUR</t>
        </is>
      </c>
      <c r="G134" t="inlineStr">
        <is>
          <t>EUR</t>
        </is>
      </c>
      <c r="H134" s="2" t="inlineStr">
        <is>
          <t>si</t>
        </is>
      </c>
    </row>
    <row r="135">
      <c r="A135" t="inlineStr">
        <is>
          <t>LU0318931192</t>
        </is>
      </c>
      <c r="B135" t="inlineStr">
        <is>
          <t>LU0318931192.EUFUND</t>
        </is>
      </c>
      <c r="C135" t="inlineStr">
        <is>
          <t>FUND</t>
        </is>
      </c>
      <c r="D135" t="inlineStr">
        <is>
          <t>EQUITY</t>
        </is>
      </c>
      <c r="E135" t="inlineStr">
        <is>
          <t>fondos-bolsa</t>
        </is>
      </c>
      <c r="F135" t="inlineStr">
        <is>
          <t>Fidelity Funds - China Focus Fund A-Acc-EUR</t>
        </is>
      </c>
      <c r="G135" t="inlineStr">
        <is>
          <t>EUR</t>
        </is>
      </c>
      <c r="H135" s="2" t="inlineStr">
        <is>
          <t>si</t>
        </is>
      </c>
    </row>
    <row r="136">
      <c r="A136" t="inlineStr">
        <is>
          <t>LU0766123821</t>
        </is>
      </c>
      <c r="B136" t="inlineStr">
        <is>
          <t>LU0766123821.EUFUND</t>
        </is>
      </c>
      <c r="C136" t="inlineStr">
        <is>
          <t>FUND</t>
        </is>
      </c>
      <c r="D136" t="inlineStr">
        <is>
          <t>EQUITY</t>
        </is>
      </c>
      <c r="E136" t="inlineStr">
        <is>
          <t>fondos-bolsa</t>
        </is>
      </c>
      <c r="F136" t="inlineStr">
        <is>
          <t>Fidelity Funds - China Focus Fund E-Acc-EUR</t>
        </is>
      </c>
      <c r="G136" t="inlineStr">
        <is>
          <t>EUR</t>
        </is>
      </c>
      <c r="H136" s="2" t="inlineStr">
        <is>
          <t>si</t>
        </is>
      </c>
    </row>
    <row r="137">
      <c r="A137" t="inlineStr">
        <is>
          <t>LU0329678410</t>
        </is>
      </c>
      <c r="B137" t="inlineStr">
        <is>
          <t>LU0329678410.EUFUND</t>
        </is>
      </c>
      <c r="C137" t="inlineStr">
        <is>
          <t>FUND</t>
        </is>
      </c>
      <c r="D137" t="inlineStr">
        <is>
          <t>EQUITY</t>
        </is>
      </c>
      <c r="E137" t="inlineStr">
        <is>
          <t>fondos-bolsa</t>
        </is>
      </c>
      <c r="F137" t="inlineStr">
        <is>
          <t>Fidelity Funds - Emerging Asia Fund A-Acc-EUR</t>
        </is>
      </c>
      <c r="G137" t="inlineStr">
        <is>
          <t>EUR</t>
        </is>
      </c>
      <c r="H137" s="2" t="inlineStr">
        <is>
          <t>si</t>
        </is>
      </c>
    </row>
    <row r="138">
      <c r="A138" t="inlineStr">
        <is>
          <t>LU0630951415</t>
        </is>
      </c>
      <c r="B138" t="inlineStr">
        <is>
          <t>LU0630951415.EUFUND</t>
        </is>
      </c>
      <c r="C138" t="inlineStr">
        <is>
          <t>FUND</t>
        </is>
      </c>
      <c r="D138" t="inlineStr">
        <is>
          <t>EQUITY</t>
        </is>
      </c>
      <c r="E138" t="inlineStr">
        <is>
          <t>fondos-bolsa</t>
        </is>
      </c>
      <c r="F138" t="inlineStr">
        <is>
          <t>Fidelity Funds - Emerging Asia Fund E-Acc-EUR</t>
        </is>
      </c>
      <c r="G138" t="inlineStr">
        <is>
          <t>EUR</t>
        </is>
      </c>
      <c r="H138" s="2" t="inlineStr">
        <is>
          <t>si</t>
        </is>
      </c>
    </row>
    <row r="139">
      <c r="A139" t="inlineStr">
        <is>
          <t>LU0261952682</t>
        </is>
      </c>
      <c r="B139" t="inlineStr">
        <is>
          <t>LU0261952682.EUFUND</t>
        </is>
      </c>
      <c r="C139" t="inlineStr">
        <is>
          <t>FUND</t>
        </is>
      </c>
      <c r="D139" t="inlineStr">
        <is>
          <t>EQUITY</t>
        </is>
      </c>
      <c r="E139" t="inlineStr">
        <is>
          <t>fondos-bolsa</t>
        </is>
      </c>
      <c r="F139" t="inlineStr">
        <is>
          <t>Fidelity Funds - Euro 50 Index Fund A-Acc-EUR</t>
        </is>
      </c>
      <c r="G139" t="inlineStr">
        <is>
          <t>EUR</t>
        </is>
      </c>
      <c r="H139" s="2" t="inlineStr">
        <is>
          <t>si</t>
        </is>
      </c>
    </row>
    <row r="140">
      <c r="A140" t="inlineStr">
        <is>
          <t>LU0353647737</t>
        </is>
      </c>
      <c r="B140" t="inlineStr">
        <is>
          <t>LU0353647737.EUFUND</t>
        </is>
      </c>
      <c r="C140" t="inlineStr">
        <is>
          <t>FUND</t>
        </is>
      </c>
      <c r="D140" t="inlineStr">
        <is>
          <t>EQUITY</t>
        </is>
      </c>
      <c r="E140" t="inlineStr">
        <is>
          <t>fondos-bolsa</t>
        </is>
      </c>
      <c r="F140" t="inlineStr">
        <is>
          <t>Fidelity Funds - European Dividend Fund A-Acc-EUR</t>
        </is>
      </c>
      <c r="G140" t="inlineStr">
        <is>
          <t>EUR</t>
        </is>
      </c>
      <c r="H140" s="2" t="inlineStr">
        <is>
          <t>si</t>
        </is>
      </c>
    </row>
    <row r="141">
      <c r="A141" t="inlineStr">
        <is>
          <t>LU0857700040</t>
        </is>
      </c>
      <c r="B141" t="inlineStr">
        <is>
          <t>LU0857700040.EUFUND</t>
        </is>
      </c>
      <c r="C141" t="inlineStr">
        <is>
          <t>FUND</t>
        </is>
      </c>
      <c r="D141" t="inlineStr">
        <is>
          <t>EQUITY</t>
        </is>
      </c>
      <c r="E141" t="inlineStr">
        <is>
          <t>fondos-bolsa</t>
        </is>
      </c>
      <c r="F141" t="inlineStr">
        <is>
          <t>Fidelity Funds - European Dividend Fund A-MINCOME(G)-EUR</t>
        </is>
      </c>
      <c r="G141" t="inlineStr">
        <is>
          <t>EUR</t>
        </is>
      </c>
      <c r="H141" s="2" t="inlineStr">
        <is>
          <t>si</t>
        </is>
      </c>
    </row>
    <row r="142">
      <c r="A142" t="inlineStr">
        <is>
          <t>LU0261948227</t>
        </is>
      </c>
      <c r="B142" t="inlineStr">
        <is>
          <t>LU0261948227.EUFUND</t>
        </is>
      </c>
      <c r="C142" t="inlineStr">
        <is>
          <t>FUND</t>
        </is>
      </c>
      <c r="D142" t="inlineStr">
        <is>
          <t>EQUITY</t>
        </is>
      </c>
      <c r="E142" t="inlineStr">
        <is>
          <t>fondos-bolsa</t>
        </is>
      </c>
      <c r="F142" t="inlineStr">
        <is>
          <t>Fidelity Funds - Germany Fund A-Acc-EUR</t>
        </is>
      </c>
      <c r="G142" t="inlineStr">
        <is>
          <t>EUR</t>
        </is>
      </c>
      <c r="H142" s="2" t="inlineStr">
        <is>
          <t>si</t>
        </is>
      </c>
    </row>
    <row r="143">
      <c r="A143" t="inlineStr">
        <is>
          <t>LU1391767586</t>
        </is>
      </c>
      <c r="B143" t="inlineStr">
        <is>
          <t>LU1391767586.EUFUND</t>
        </is>
      </c>
      <c r="C143" t="inlineStr">
        <is>
          <t>FUND</t>
        </is>
      </c>
      <c r="D143" t="inlineStr">
        <is>
          <t>EQUITY</t>
        </is>
      </c>
      <c r="E143" t="inlineStr">
        <is>
          <t>fondos-bolsa</t>
        </is>
      </c>
      <c r="F143" t="inlineStr">
        <is>
          <t>Fidelity Funds - Global Financial Services Fund A-Acc-EUR</t>
        </is>
      </c>
      <c r="G143" t="inlineStr">
        <is>
          <t>EUR</t>
        </is>
      </c>
      <c r="H143" s="2" t="inlineStr">
        <is>
          <t>si</t>
        </is>
      </c>
    </row>
    <row r="144">
      <c r="A144" t="inlineStr">
        <is>
          <t>LU0114722738</t>
        </is>
      </c>
      <c r="B144" t="inlineStr">
        <is>
          <t>LU0114722738.EUFUND</t>
        </is>
      </c>
      <c r="C144" t="inlineStr">
        <is>
          <t>FUND</t>
        </is>
      </c>
      <c r="D144" t="inlineStr">
        <is>
          <t>EQUITY</t>
        </is>
      </c>
      <c r="E144" t="inlineStr">
        <is>
          <t>fondos-bolsa</t>
        </is>
      </c>
      <c r="F144" t="inlineStr">
        <is>
          <t>Fidelity Funds - Global Financial Services Fund E-Acc-EUR</t>
        </is>
      </c>
      <c r="G144" t="inlineStr">
        <is>
          <t>EUR</t>
        </is>
      </c>
      <c r="H144" s="2" t="inlineStr">
        <is>
          <t>si</t>
        </is>
      </c>
    </row>
    <row r="145">
      <c r="A145" t="inlineStr">
        <is>
          <t>LU2504555777</t>
        </is>
      </c>
      <c r="B145" t="inlineStr">
        <is>
          <t>LU2504555777.EUFUND</t>
        </is>
      </c>
      <c r="C145" t="inlineStr">
        <is>
          <t>FUND</t>
        </is>
      </c>
      <c r="D145" t="inlineStr">
        <is>
          <t>EQUITY</t>
        </is>
      </c>
      <c r="E145" t="inlineStr">
        <is>
          <t>fondos-bolsa</t>
        </is>
      </c>
      <c r="F145" t="inlineStr">
        <is>
          <t>Fidelity Funds - Global Industrials Fund A-Acc-EUR</t>
        </is>
      </c>
      <c r="G145" t="inlineStr">
        <is>
          <t>EUR</t>
        </is>
      </c>
      <c r="H145" s="2" t="inlineStr">
        <is>
          <t>si</t>
        </is>
      </c>
    </row>
    <row r="146">
      <c r="A146" t="inlineStr">
        <is>
          <t>LU0114723033</t>
        </is>
      </c>
      <c r="B146" t="inlineStr">
        <is>
          <t>LU0114723033.EUFUND</t>
        </is>
      </c>
      <c r="C146" t="inlineStr">
        <is>
          <t>FUND</t>
        </is>
      </c>
      <c r="D146" t="inlineStr">
        <is>
          <t>EQUITY</t>
        </is>
      </c>
      <c r="E146" t="inlineStr">
        <is>
          <t>fondos-bolsa</t>
        </is>
      </c>
      <c r="F146" t="inlineStr">
        <is>
          <t>Fidelity Funds - Global Industrials Fund E-Acc-EUR</t>
        </is>
      </c>
      <c r="G146" t="inlineStr">
        <is>
          <t>EUR</t>
        </is>
      </c>
      <c r="H146" s="2" t="inlineStr">
        <is>
          <t>si</t>
        </is>
      </c>
    </row>
    <row r="147">
      <c r="A147" t="inlineStr">
        <is>
          <t>LU1213836080</t>
        </is>
      </c>
      <c r="B147" t="inlineStr">
        <is>
          <t>LU1213836080.EUFUND</t>
        </is>
      </c>
      <c r="C147" t="inlineStr">
        <is>
          <t>FUND</t>
        </is>
      </c>
      <c r="D147" t="inlineStr">
        <is>
          <t>EQUITY</t>
        </is>
      </c>
      <c r="E147" t="inlineStr">
        <is>
          <t>fondos-bolsa</t>
        </is>
      </c>
      <c r="F147" t="inlineStr">
        <is>
          <t>Fidelity Funds - Global Technology Fund A-Acc-EUR</t>
        </is>
      </c>
      <c r="G147" t="inlineStr">
        <is>
          <t>EUR</t>
        </is>
      </c>
      <c r="H147" s="2" t="inlineStr">
        <is>
          <t>si</t>
        </is>
      </c>
    </row>
    <row r="148">
      <c r="A148" t="inlineStr">
        <is>
          <t>LU0115773425</t>
        </is>
      </c>
      <c r="B148" t="inlineStr">
        <is>
          <t>LU0115773425.EUFUND</t>
        </is>
      </c>
      <c r="C148" t="inlineStr">
        <is>
          <t>FUND</t>
        </is>
      </c>
      <c r="D148" t="inlineStr">
        <is>
          <t>EQUITY</t>
        </is>
      </c>
      <c r="E148" t="inlineStr">
        <is>
          <t>fondos-bolsa</t>
        </is>
      </c>
      <c r="F148" t="inlineStr">
        <is>
          <t>Fidelity Funds - Global Technology Fund E-Acc-EUR</t>
        </is>
      </c>
      <c r="G148" t="inlineStr">
        <is>
          <t>EUR</t>
        </is>
      </c>
      <c r="H148" s="2" t="inlineStr">
        <is>
          <t>si</t>
        </is>
      </c>
    </row>
    <row r="149">
      <c r="A149" t="inlineStr">
        <is>
          <t>LU0115765678</t>
        </is>
      </c>
      <c r="B149" t="inlineStr">
        <is>
          <t>LU0115765678.EUFUND</t>
        </is>
      </c>
      <c r="C149" t="inlineStr">
        <is>
          <t>FUND</t>
        </is>
      </c>
      <c r="D149" t="inlineStr">
        <is>
          <t>EQUITY</t>
        </is>
      </c>
      <c r="E149" t="inlineStr">
        <is>
          <t>fondos-bolsa</t>
        </is>
      </c>
      <c r="F149" t="inlineStr">
        <is>
          <t>Fidelity Funds - Iberia Fund E-Acc-EUR</t>
        </is>
      </c>
      <c r="G149" t="inlineStr">
        <is>
          <t>EUR</t>
        </is>
      </c>
      <c r="H149" s="2" t="inlineStr">
        <is>
          <t>si</t>
        </is>
      </c>
    </row>
    <row r="150">
      <c r="A150" t="inlineStr">
        <is>
          <t>LU0922333322</t>
        </is>
      </c>
      <c r="B150" t="inlineStr">
        <is>
          <t>LU0922333322.EUFUND</t>
        </is>
      </c>
      <c r="C150" t="inlineStr">
        <is>
          <t>FUND</t>
        </is>
      </c>
      <c r="D150" t="inlineStr">
        <is>
          <t>EQUITY</t>
        </is>
      </c>
      <c r="E150" t="inlineStr">
        <is>
          <t>fondos-bolsa</t>
        </is>
      </c>
      <c r="F150" t="inlineStr">
        <is>
          <t>Fidelity Funds - Italy Fund A-Acc-EUR</t>
        </is>
      </c>
      <c r="G150" t="inlineStr">
        <is>
          <t>EUR</t>
        </is>
      </c>
      <c r="H150" s="2" t="inlineStr">
        <is>
          <t>si</t>
        </is>
      </c>
    </row>
    <row r="151">
      <c r="A151" t="inlineStr">
        <is>
          <t>LU0413543058</t>
        </is>
      </c>
      <c r="B151" t="inlineStr">
        <is>
          <t>LU0413543058.EUFUND</t>
        </is>
      </c>
      <c r="C151" t="inlineStr">
        <is>
          <t>FUND</t>
        </is>
      </c>
      <c r="D151" t="inlineStr">
        <is>
          <t>EQUITY</t>
        </is>
      </c>
      <c r="E151" t="inlineStr">
        <is>
          <t>fondos-bolsa</t>
        </is>
      </c>
      <c r="F151" t="inlineStr">
        <is>
          <t>Fidelity Funds - Japan Value Fund A-Acc-EUR</t>
        </is>
      </c>
      <c r="G151" t="inlineStr">
        <is>
          <t>EUR</t>
        </is>
      </c>
      <c r="H151" s="2" t="inlineStr">
        <is>
          <t>si</t>
        </is>
      </c>
    </row>
    <row r="152">
      <c r="A152" t="inlineStr">
        <is>
          <t>LU0368678339</t>
        </is>
      </c>
      <c r="B152" t="inlineStr">
        <is>
          <t>LU0368678339.EUFUND</t>
        </is>
      </c>
      <c r="C152" t="inlineStr">
        <is>
          <t>FUND</t>
        </is>
      </c>
      <c r="D152" t="inlineStr">
        <is>
          <t>EQUITY</t>
        </is>
      </c>
      <c r="E152" t="inlineStr">
        <is>
          <t>fondos-bolsa</t>
        </is>
      </c>
      <c r="F152" t="inlineStr">
        <is>
          <t>Fidelity Funds - Pacific Fund A-Acc-EUR</t>
        </is>
      </c>
      <c r="G152" t="inlineStr">
        <is>
          <t>EUR</t>
        </is>
      </c>
      <c r="H152" s="2" t="inlineStr">
        <is>
          <t>si</t>
        </is>
      </c>
    </row>
    <row r="153">
      <c r="A153" t="inlineStr">
        <is>
          <t>LU2050860480</t>
        </is>
      </c>
      <c r="B153" t="inlineStr">
        <is>
          <t>LU2050860480.EUFUND</t>
        </is>
      </c>
      <c r="C153" t="inlineStr">
        <is>
          <t>FUND</t>
        </is>
      </c>
      <c r="D153" t="inlineStr">
        <is>
          <t>EQUITY</t>
        </is>
      </c>
      <c r="E153" t="inlineStr">
        <is>
          <t>fondos-bolsa</t>
        </is>
      </c>
      <c r="F153" t="inlineStr">
        <is>
          <t>Fidelity Funds - UK Special Situations Fund A-ACC-EUR</t>
        </is>
      </c>
      <c r="G153" t="inlineStr">
        <is>
          <t>EUR</t>
        </is>
      </c>
      <c r="H153" s="2" t="inlineStr">
        <is>
          <t>si</t>
        </is>
      </c>
    </row>
    <row r="154">
      <c r="A154" t="inlineStr">
        <is>
          <t>LU0275692696</t>
        </is>
      </c>
      <c r="B154" t="inlineStr">
        <is>
          <t>LU0275692696.EUFUND</t>
        </is>
      </c>
      <c r="C154" t="inlineStr">
        <is>
          <t>FUND</t>
        </is>
      </c>
      <c r="D154" t="inlineStr">
        <is>
          <t>EQUITY</t>
        </is>
      </c>
      <c r="E154" t="inlineStr">
        <is>
          <t>fondos-bolsa</t>
        </is>
      </c>
      <c r="F154" t="inlineStr">
        <is>
          <t>Fidelity Funds - US Equity Fund A-Acc-EUR</t>
        </is>
      </c>
      <c r="G154" t="inlineStr">
        <is>
          <t>EUR</t>
        </is>
      </c>
      <c r="H154" s="2" t="inlineStr">
        <is>
          <t>si</t>
        </is>
      </c>
    </row>
    <row r="155">
      <c r="A155" t="inlineStr">
        <is>
          <t>LU0115769746</t>
        </is>
      </c>
      <c r="B155" t="inlineStr">
        <is>
          <t>LU0115769746.EUFUND</t>
        </is>
      </c>
      <c r="C155" t="inlineStr">
        <is>
          <t>FUND</t>
        </is>
      </c>
      <c r="D155" t="inlineStr">
        <is>
          <t>EQUITY</t>
        </is>
      </c>
      <c r="E155" t="inlineStr">
        <is>
          <t>fondos-bolsa</t>
        </is>
      </c>
      <c r="F155" t="inlineStr">
        <is>
          <t>Fidelity Funds - World Fund E-Acc-EUR</t>
        </is>
      </c>
      <c r="G155" t="inlineStr">
        <is>
          <t>EUR</t>
        </is>
      </c>
      <c r="H155" s="2" t="inlineStr">
        <is>
          <t>si</t>
        </is>
      </c>
    </row>
    <row r="156">
      <c r="A156" t="inlineStr">
        <is>
          <t>IE00BYX5P602</t>
        </is>
      </c>
      <c r="B156" t="inlineStr">
        <is>
          <t>IE00BYX5P602.EUFUND</t>
        </is>
      </c>
      <c r="C156" t="inlineStr">
        <is>
          <t>FUND</t>
        </is>
      </c>
      <c r="D156" t="inlineStr">
        <is>
          <t>EQUITY</t>
        </is>
      </c>
      <c r="E156" t="inlineStr">
        <is>
          <t>fondos-bolsa</t>
        </is>
      </c>
      <c r="F156" t="inlineStr">
        <is>
          <t>Fidelity MSCI World Index Fund EUR P Acc (Hedged)</t>
        </is>
      </c>
      <c r="G156" t="inlineStr">
        <is>
          <t>EUR</t>
        </is>
      </c>
      <c r="H156" s="2" t="inlineStr">
        <is>
          <t>si</t>
        </is>
      </c>
    </row>
    <row r="157">
      <c r="A157" t="inlineStr">
        <is>
          <t>LU0496368142</t>
        </is>
      </c>
      <c r="B157" t="inlineStr">
        <is>
          <t>LU0496368142.EUFUND</t>
        </is>
      </c>
      <c r="C157" t="inlineStr">
        <is>
          <t>FUND</t>
        </is>
      </c>
      <c r="D157" t="inlineStr">
        <is>
          <t>EQUITY</t>
        </is>
      </c>
      <c r="E157" t="inlineStr">
        <is>
          <t>fondos-bolsa</t>
        </is>
      </c>
      <c r="F157" t="inlineStr">
        <is>
          <t>Franklin Gold and Precious Metals Fund A(acc)EUR-H1</t>
        </is>
      </c>
      <c r="G157" t="inlineStr">
        <is>
          <t>EUR</t>
        </is>
      </c>
      <c r="H157" s="2" t="inlineStr">
        <is>
          <t>si</t>
        </is>
      </c>
    </row>
    <row r="158">
      <c r="A158" t="inlineStr">
        <is>
          <t>LU0496369389</t>
        </is>
      </c>
      <c r="B158" t="inlineStr">
        <is>
          <t>LU0496369389.EUFUND</t>
        </is>
      </c>
      <c r="C158" t="inlineStr">
        <is>
          <t>FUND</t>
        </is>
      </c>
      <c r="D158" t="inlineStr">
        <is>
          <t>EQUITY</t>
        </is>
      </c>
      <c r="E158" t="inlineStr">
        <is>
          <t>fondos-bolsa</t>
        </is>
      </c>
      <c r="F158" t="inlineStr">
        <is>
          <t>Franklin Gold and Precious Metals Fund N(acc)EUR</t>
        </is>
      </c>
      <c r="G158" t="inlineStr">
        <is>
          <t>EUR</t>
        </is>
      </c>
      <c r="H158" s="2" t="inlineStr">
        <is>
          <t>si</t>
        </is>
      </c>
    </row>
    <row r="159">
      <c r="A159" t="inlineStr">
        <is>
          <t>LU0231205856</t>
        </is>
      </c>
      <c r="B159" t="inlineStr">
        <is>
          <t>LU0231205856.EUFUND</t>
        </is>
      </c>
      <c r="C159" t="inlineStr">
        <is>
          <t>FUND</t>
        </is>
      </c>
      <c r="D159" t="inlineStr">
        <is>
          <t>EQUITY</t>
        </is>
      </c>
      <c r="E159" t="inlineStr">
        <is>
          <t>fondos-bolsa</t>
        </is>
      </c>
      <c r="F159" t="inlineStr">
        <is>
          <t>Franklin India Fund N(acc)EUR</t>
        </is>
      </c>
      <c r="G159" t="inlineStr">
        <is>
          <t>EUR</t>
        </is>
      </c>
      <c r="H159" s="2" t="inlineStr">
        <is>
          <t>si</t>
        </is>
      </c>
    </row>
    <row r="160">
      <c r="A160" t="inlineStr">
        <is>
          <t>LU0300741732</t>
        </is>
      </c>
      <c r="B160" t="inlineStr">
        <is>
          <t>LU0300741732.EUFUND</t>
        </is>
      </c>
      <c r="C160" t="inlineStr">
        <is>
          <t>FUND</t>
        </is>
      </c>
      <c r="D160" t="inlineStr">
        <is>
          <t>EQUITY</t>
        </is>
      </c>
      <c r="E160" t="inlineStr">
        <is>
          <t>fondos-bolsa</t>
        </is>
      </c>
      <c r="F160" t="inlineStr">
        <is>
          <t>Franklin Natural Resources Fund A(acc)EUR</t>
        </is>
      </c>
      <c r="G160" t="inlineStr">
        <is>
          <t>EUR</t>
        </is>
      </c>
      <c r="H160" s="2" t="inlineStr">
        <is>
          <t>si</t>
        </is>
      </c>
    </row>
    <row r="161">
      <c r="A161" t="inlineStr">
        <is>
          <t>LU0260869739</t>
        </is>
      </c>
      <c r="B161" t="inlineStr">
        <is>
          <t>LU0260869739.EUFUND</t>
        </is>
      </c>
      <c r="C161" t="inlineStr">
        <is>
          <t>FUND</t>
        </is>
      </c>
      <c r="D161" t="inlineStr">
        <is>
          <t>EQUITY</t>
        </is>
      </c>
      <c r="E161" t="inlineStr">
        <is>
          <t>fondos-bolsa</t>
        </is>
      </c>
      <c r="F161" t="inlineStr">
        <is>
          <t>Franklin U.S. Opportunities Fund A(acc)EUR</t>
        </is>
      </c>
      <c r="G161" t="inlineStr">
        <is>
          <t>EUR</t>
        </is>
      </c>
      <c r="H161" s="2" t="inlineStr">
        <is>
          <t>si</t>
        </is>
      </c>
    </row>
    <row r="162">
      <c r="A162" t="inlineStr">
        <is>
          <t>IE00BD4GTQ32</t>
        </is>
      </c>
      <c r="B162" t="inlineStr">
        <is>
          <t>IE00BD4GTQ32.EUFUND</t>
        </is>
      </c>
      <c r="C162" t="inlineStr">
        <is>
          <t>FUND</t>
        </is>
      </c>
      <c r="D162" t="inlineStr">
        <is>
          <t>EQUITY</t>
        </is>
      </c>
      <c r="E162" t="inlineStr">
        <is>
          <t>fondos-bolsa</t>
        </is>
      </c>
      <c r="F162" t="inlineStr">
        <is>
          <t>FTGF ClearBridge Infrastructure Value Fund Class A Euro Accumulating</t>
        </is>
      </c>
      <c r="G162" t="inlineStr">
        <is>
          <t>EUR</t>
        </is>
      </c>
      <c r="H162" s="2" t="inlineStr">
        <is>
          <t>si</t>
        </is>
      </c>
    </row>
    <row r="163">
      <c r="A163" t="inlineStr">
        <is>
          <t>LU0690375182</t>
        </is>
      </c>
      <c r="B163" t="inlineStr">
        <is>
          <t>LU0690375182.EUFUND</t>
        </is>
      </c>
      <c r="C163" t="inlineStr">
        <is>
          <t>FUND</t>
        </is>
      </c>
      <c r="D163" t="inlineStr">
        <is>
          <t>EQUITY</t>
        </is>
      </c>
      <c r="E163" t="inlineStr">
        <is>
          <t>fondos-bolsa</t>
        </is>
      </c>
      <c r="F163" t="inlineStr">
        <is>
          <t>Fundsmith Equity Fund T EUR Acc</t>
        </is>
      </c>
      <c r="G163" t="inlineStr">
        <is>
          <t>EUR</t>
        </is>
      </c>
      <c r="H163" s="2" t="inlineStr">
        <is>
          <t>si</t>
        </is>
      </c>
    </row>
    <row r="164">
      <c r="A164" t="inlineStr">
        <is>
          <t>LU0329430986</t>
        </is>
      </c>
      <c r="B164" t="inlineStr">
        <is>
          <t>LU0329430986.EUFUND</t>
        </is>
      </c>
      <c r="C164" t="inlineStr">
        <is>
          <t>FUND</t>
        </is>
      </c>
      <c r="D164" t="inlineStr">
        <is>
          <t>EQUITY</t>
        </is>
      </c>
      <c r="E164" t="inlineStr">
        <is>
          <t>fondos-bolsa</t>
        </is>
      </c>
      <c r="F164" t="inlineStr">
        <is>
          <t>GAM Multistock - Luxury Brands Equity EUR E</t>
        </is>
      </c>
      <c r="G164" t="inlineStr">
        <is>
          <t>EUR</t>
        </is>
      </c>
      <c r="H164" s="2" t="inlineStr">
        <is>
          <t>si</t>
        </is>
      </c>
    </row>
    <row r="165">
      <c r="A165" t="inlineStr">
        <is>
          <t>LU0300507208</t>
        </is>
      </c>
      <c r="B165" t="inlineStr">
        <is>
          <t>LU0300507208.EUFUND</t>
        </is>
      </c>
      <c r="C165" t="inlineStr">
        <is>
          <t>FUND</t>
        </is>
      </c>
      <c r="D165" t="inlineStr">
        <is>
          <t>EQUITY</t>
        </is>
      </c>
      <c r="E165" t="inlineStr">
        <is>
          <t>fondos-bolsa</t>
        </is>
      </c>
      <c r="F165" t="inlineStr">
        <is>
          <t>Generali Investments SICAV - Euro Future Leaders EX</t>
        </is>
      </c>
      <c r="G165" t="inlineStr">
        <is>
          <t>EUR</t>
        </is>
      </c>
      <c r="H165" s="2" t="inlineStr">
        <is>
          <t>si</t>
        </is>
      </c>
    </row>
    <row r="166">
      <c r="A166" t="inlineStr">
        <is>
          <t>ES0138911039</t>
        </is>
      </c>
      <c r="B166" t="inlineStr">
        <is>
          <t>ES0138911039.EUFUND</t>
        </is>
      </c>
      <c r="C166" t="inlineStr">
        <is>
          <t>FUND</t>
        </is>
      </c>
      <c r="D166" t="inlineStr">
        <is>
          <t>EQUITY</t>
        </is>
      </c>
      <c r="E166" t="inlineStr">
        <is>
          <t>fondos-bolsa</t>
        </is>
      </c>
      <c r="F166" t="inlineStr">
        <is>
          <t>GESCONSULT RENTA VARIABLE EUROZONA  FI</t>
        </is>
      </c>
      <c r="G166" t="inlineStr">
        <is>
          <t>EUR</t>
        </is>
      </c>
      <c r="H166" s="2" t="inlineStr">
        <is>
          <t>si</t>
        </is>
      </c>
    </row>
    <row r="167">
      <c r="A167" t="inlineStr">
        <is>
          <t>ES0137381036</t>
        </is>
      </c>
      <c r="B167" t="inlineStr">
        <is>
          <t>ES0137381036.EUFUND</t>
        </is>
      </c>
      <c r="C167" t="inlineStr">
        <is>
          <t>FUND</t>
        </is>
      </c>
      <c r="D167" t="inlineStr">
        <is>
          <t>EQUITY</t>
        </is>
      </c>
      <c r="E167" t="inlineStr">
        <is>
          <t>fondos-bolsa</t>
        </is>
      </c>
      <c r="F167" t="inlineStr">
        <is>
          <t>GESCONSULT RENTA VARIABLE IBERIA  FI</t>
        </is>
      </c>
      <c r="G167" t="inlineStr">
        <is>
          <t>EUR</t>
        </is>
      </c>
      <c r="H167" s="2" t="inlineStr">
        <is>
          <t>si</t>
        </is>
      </c>
    </row>
    <row r="168">
      <c r="A168" t="inlineStr">
        <is>
          <t>ES0168797092</t>
        </is>
      </c>
      <c r="B168" t="inlineStr">
        <is>
          <t>ES0168797092.EUFUND</t>
        </is>
      </c>
      <c r="C168" t="inlineStr">
        <is>
          <t>FUND</t>
        </is>
      </c>
      <c r="D168" t="inlineStr">
        <is>
          <t>EQUITY</t>
        </is>
      </c>
      <c r="E168" t="inlineStr">
        <is>
          <t>fondos-bolsa</t>
        </is>
      </c>
      <c r="F168" t="inlineStr">
        <is>
          <t>GESTION BOUTIQUE II  FI</t>
        </is>
      </c>
      <c r="G168" t="inlineStr">
        <is>
          <t>EUR</t>
        </is>
      </c>
      <c r="H168" s="2" t="inlineStr">
        <is>
          <t>si</t>
        </is>
      </c>
    </row>
    <row r="169">
      <c r="A169" t="inlineStr">
        <is>
          <t>ES0168799056</t>
        </is>
      </c>
      <c r="B169" t="inlineStr">
        <is>
          <t>ES0168799056.EUFUND</t>
        </is>
      </c>
      <c r="C169" t="inlineStr">
        <is>
          <t>FUND</t>
        </is>
      </c>
      <c r="D169" t="inlineStr">
        <is>
          <t>EQUITY</t>
        </is>
      </c>
      <c r="E169" t="inlineStr">
        <is>
          <t>fondos-bolsa</t>
        </is>
      </c>
      <c r="F169" t="inlineStr">
        <is>
          <t>GESTION BOUTIQUE IV  FI</t>
        </is>
      </c>
      <c r="G169" t="inlineStr">
        <is>
          <t>EUR</t>
        </is>
      </c>
      <c r="H169" s="2" t="inlineStr">
        <is>
          <t>si</t>
        </is>
      </c>
    </row>
    <row r="170">
      <c r="A170" t="inlineStr">
        <is>
          <t>ES0141991002</t>
        </is>
      </c>
      <c r="B170" t="inlineStr">
        <is>
          <t>ES0141991002.EUFUND</t>
        </is>
      </c>
      <c r="C170" t="inlineStr">
        <is>
          <t>FUND</t>
        </is>
      </c>
      <c r="D170" t="inlineStr">
        <is>
          <t>EQUITY</t>
        </is>
      </c>
      <c r="E170" t="inlineStr">
        <is>
          <t>fondos-bolsa</t>
        </is>
      </c>
      <c r="F170" t="inlineStr">
        <is>
          <t>GESTION TALENTO  FI</t>
        </is>
      </c>
      <c r="G170" t="inlineStr">
        <is>
          <t>EUR</t>
        </is>
      </c>
      <c r="H170" s="2" t="inlineStr">
        <is>
          <t>si</t>
        </is>
      </c>
    </row>
    <row r="171">
      <c r="A171" t="inlineStr">
        <is>
          <t>ES0125323008</t>
        </is>
      </c>
      <c r="B171" t="inlineStr">
        <is>
          <t>ES0125323008.EUFUND</t>
        </is>
      </c>
      <c r="C171" t="inlineStr">
        <is>
          <t>FUND</t>
        </is>
      </c>
      <c r="D171" t="inlineStr">
        <is>
          <t>EQUITY</t>
        </is>
      </c>
      <c r="E171" t="inlineStr">
        <is>
          <t>fondos-bolsa</t>
        </is>
      </c>
      <c r="F171" t="inlineStr">
        <is>
          <t>GESTION VALUE  FI</t>
        </is>
      </c>
      <c r="G171" t="inlineStr">
        <is>
          <t>EUR</t>
        </is>
      </c>
      <c r="H171" s="2" t="inlineStr">
        <is>
          <t>si</t>
        </is>
      </c>
    </row>
    <row r="172">
      <c r="A172" t="inlineStr">
        <is>
          <t>LU0273690064</t>
        </is>
      </c>
      <c r="B172" t="inlineStr">
        <is>
          <t>LU0273690064.EUFUND</t>
        </is>
      </c>
      <c r="C172" t="inlineStr">
        <is>
          <t>FUND</t>
        </is>
      </c>
      <c r="D172" t="inlineStr">
        <is>
          <t>EQUITY</t>
        </is>
      </c>
      <c r="E172" t="inlineStr">
        <is>
          <t>fondos-bolsa</t>
        </is>
      </c>
      <c r="F172" t="inlineStr">
        <is>
          <t>Goldman Sachs Asia Equity Growth &amp; Income - P Cap EUR</t>
        </is>
      </c>
      <c r="G172" t="inlineStr">
        <is>
          <t>EUR</t>
        </is>
      </c>
      <c r="H172" s="2" t="inlineStr">
        <is>
          <t>si</t>
        </is>
      </c>
    </row>
    <row r="173">
      <c r="A173" t="inlineStr">
        <is>
          <t>LU0133267202</t>
        </is>
      </c>
      <c r="B173" t="inlineStr">
        <is>
          <t>LU0133267202.EUFUND</t>
        </is>
      </c>
      <c r="C173" t="inlineStr">
        <is>
          <t>FUND</t>
        </is>
      </c>
      <c r="D173" t="inlineStr">
        <is>
          <t>EQUITY</t>
        </is>
      </c>
      <c r="E173" t="inlineStr">
        <is>
          <t>fondos-bolsa</t>
        </is>
      </c>
      <c r="F173" t="inlineStr">
        <is>
          <t>Goldman Sachs Emerging Markets Equity Portfolio E Acc EUR</t>
        </is>
      </c>
      <c r="G173" t="inlineStr">
        <is>
          <t>EUR</t>
        </is>
      </c>
      <c r="H173" s="2" t="inlineStr">
        <is>
          <t>si</t>
        </is>
      </c>
    </row>
    <row r="174">
      <c r="A174" t="inlineStr">
        <is>
          <t>LU0102219945</t>
        </is>
      </c>
      <c r="B174" t="inlineStr">
        <is>
          <t>LU0102219945.EUFUND</t>
        </is>
      </c>
      <c r="C174" t="inlineStr">
        <is>
          <t>FUND</t>
        </is>
      </c>
      <c r="D174" t="inlineStr">
        <is>
          <t>EQUITY</t>
        </is>
      </c>
      <c r="E174" t="inlineStr">
        <is>
          <t>fondos-bolsa</t>
        </is>
      </c>
      <c r="F174" t="inlineStr">
        <is>
          <t>Goldman Sachs Europe CORE Equity Portfolio Base Inc EUR</t>
        </is>
      </c>
      <c r="G174" t="inlineStr">
        <is>
          <t>EUR</t>
        </is>
      </c>
      <c r="H174" s="2" t="inlineStr">
        <is>
          <t>si</t>
        </is>
      </c>
    </row>
    <row r="175">
      <c r="A175" t="inlineStr">
        <is>
          <t>LU1542714578</t>
        </is>
      </c>
      <c r="B175" t="inlineStr">
        <is>
          <t>LU1542714578.EUFUND</t>
        </is>
      </c>
      <c r="C175" t="inlineStr">
        <is>
          <t>FUND</t>
        </is>
      </c>
      <c r="D175" t="inlineStr">
        <is>
          <t>EQUITY</t>
        </is>
      </c>
      <c r="E175" t="inlineStr">
        <is>
          <t>fondos-bolsa</t>
        </is>
      </c>
      <c r="F175" t="inlineStr">
        <is>
          <t>Goldman Sachs Europe Sustainable Equity - X Cap EUR</t>
        </is>
      </c>
      <c r="G175" t="inlineStr">
        <is>
          <t>EUR</t>
        </is>
      </c>
      <c r="H175" s="2" t="inlineStr">
        <is>
          <t>si</t>
        </is>
      </c>
    </row>
    <row r="176">
      <c r="A176" t="inlineStr">
        <is>
          <t>LU0127786431</t>
        </is>
      </c>
      <c r="B176" t="inlineStr">
        <is>
          <t>LU0127786431.EUFUND</t>
        </is>
      </c>
      <c r="C176" t="inlineStr">
        <is>
          <t>FUND</t>
        </is>
      </c>
      <c r="D176" t="inlineStr">
        <is>
          <t>EQUITY</t>
        </is>
      </c>
      <c r="E176" t="inlineStr">
        <is>
          <t>fondos-bolsa</t>
        </is>
      </c>
      <c r="F176" t="inlineStr">
        <is>
          <t>Goldman Sachs Eurozone Equity Income - P Cap EUR</t>
        </is>
      </c>
      <c r="G176" t="inlineStr">
        <is>
          <t>EUR</t>
        </is>
      </c>
      <c r="H176" s="2" t="inlineStr">
        <is>
          <t>si</t>
        </is>
      </c>
    </row>
    <row r="177">
      <c r="A177" t="inlineStr">
        <is>
          <t>LU0133264522</t>
        </is>
      </c>
      <c r="B177" t="inlineStr">
        <is>
          <t>LU0133264522.EUFUND</t>
        </is>
      </c>
      <c r="C177" t="inlineStr">
        <is>
          <t>FUND</t>
        </is>
      </c>
      <c r="D177" t="inlineStr">
        <is>
          <t>EQUITY</t>
        </is>
      </c>
      <c r="E177" t="inlineStr">
        <is>
          <t>fondos-bolsa</t>
        </is>
      </c>
      <c r="F177" t="inlineStr">
        <is>
          <t>Goldman Sachs Global Equity Income Portfolio E Acc EUR</t>
        </is>
      </c>
      <c r="G177" t="inlineStr">
        <is>
          <t>EUR</t>
        </is>
      </c>
      <c r="H177" s="2" t="inlineStr">
        <is>
          <t>si</t>
        </is>
      </c>
    </row>
    <row r="178">
      <c r="A178" t="inlineStr">
        <is>
          <t>LU2094235707</t>
        </is>
      </c>
      <c r="B178" t="inlineStr">
        <is>
          <t>LU2094235707.EUFUND</t>
        </is>
      </c>
      <c r="C178" t="inlineStr">
        <is>
          <t>FUND</t>
        </is>
      </c>
      <c r="D178" t="inlineStr">
        <is>
          <t>EQUITY</t>
        </is>
      </c>
      <c r="E178" t="inlineStr">
        <is>
          <t>fondos-bolsa</t>
        </is>
      </c>
      <c r="F178" t="inlineStr">
        <is>
          <t>Goldman Sachs Global Future Technology Leaders Equity Portfolio Class E Shares EUR Acc</t>
        </is>
      </c>
      <c r="G178" t="inlineStr">
        <is>
          <t>EUR</t>
        </is>
      </c>
      <c r="H178" s="2" t="inlineStr">
        <is>
          <t>si</t>
        </is>
      </c>
    </row>
    <row r="179">
      <c r="A179" t="inlineStr">
        <is>
          <t>LU0121204431</t>
        </is>
      </c>
      <c r="B179" t="inlineStr">
        <is>
          <t>LU0121204431.EUFUND</t>
        </is>
      </c>
      <c r="C179" t="inlineStr">
        <is>
          <t>FUND</t>
        </is>
      </c>
      <c r="D179" t="inlineStr">
        <is>
          <t>EQUITY</t>
        </is>
      </c>
      <c r="E179" t="inlineStr">
        <is>
          <t>fondos-bolsa</t>
        </is>
      </c>
      <c r="F179" t="inlineStr">
        <is>
          <t>Goldman Sachs Global Sustainable Equity - X Cap EUR</t>
        </is>
      </c>
      <c r="G179" t="inlineStr">
        <is>
          <t>EUR</t>
        </is>
      </c>
      <c r="H179" s="2" t="inlineStr">
        <is>
          <t>si</t>
        </is>
      </c>
    </row>
    <row r="180">
      <c r="A180" t="inlineStr">
        <is>
          <t>LU0333810850</t>
        </is>
      </c>
      <c r="B180" t="inlineStr">
        <is>
          <t>LU0333810850.EUFUND</t>
        </is>
      </c>
      <c r="C180" t="inlineStr">
        <is>
          <t>FUND</t>
        </is>
      </c>
      <c r="D180" t="inlineStr">
        <is>
          <t>EQUITY</t>
        </is>
      </c>
      <c r="E180" t="inlineStr">
        <is>
          <t>fondos-bolsa</t>
        </is>
      </c>
      <c r="F180" t="inlineStr">
        <is>
          <t>Goldman Sachs India Equity Portfolio E Acc EUR</t>
        </is>
      </c>
      <c r="G180" t="inlineStr">
        <is>
          <t>EUR</t>
        </is>
      </c>
      <c r="H180" s="2" t="inlineStr">
        <is>
          <t>si</t>
        </is>
      </c>
    </row>
    <row r="181">
      <c r="A181" t="inlineStr">
        <is>
          <t>FR0010288308</t>
        </is>
      </c>
      <c r="B181" t="inlineStr">
        <is>
          <t>FR0010288308.EUFUND</t>
        </is>
      </c>
      <c r="C181" t="inlineStr">
        <is>
          <t>FUND</t>
        </is>
      </c>
      <c r="D181" t="inlineStr">
        <is>
          <t>EQUITY</t>
        </is>
      </c>
      <c r="E181" t="inlineStr">
        <is>
          <t>fondos-bolsa</t>
        </is>
      </c>
      <c r="F181" t="inlineStr">
        <is>
          <t>Groupama Avenir Euro NC</t>
        </is>
      </c>
      <c r="G181" t="inlineStr">
        <is>
          <t>EUR</t>
        </is>
      </c>
      <c r="H181" s="2" t="inlineStr">
        <is>
          <t>si</t>
        </is>
      </c>
    </row>
    <row r="182">
      <c r="A182" t="inlineStr">
        <is>
          <t>FR0010722348</t>
        </is>
      </c>
      <c r="B182" t="inlineStr">
        <is>
          <t>FR0010722348.EUFUND</t>
        </is>
      </c>
      <c r="C182" t="inlineStr">
        <is>
          <t>FUND</t>
        </is>
      </c>
      <c r="D182" t="inlineStr">
        <is>
          <t>EQUITY</t>
        </is>
      </c>
      <c r="E182" t="inlineStr">
        <is>
          <t>fondos-bolsa</t>
        </is>
      </c>
      <c r="F182" t="inlineStr">
        <is>
          <t>Groupama Global Active Equity NC</t>
        </is>
      </c>
      <c r="G182" t="inlineStr">
        <is>
          <t>EUR</t>
        </is>
      </c>
      <c r="H182" s="2" t="inlineStr">
        <is>
          <t>si</t>
        </is>
      </c>
    </row>
    <row r="183">
      <c r="A183" t="inlineStr">
        <is>
          <t>LU1897556517</t>
        </is>
      </c>
      <c r="B183" t="inlineStr">
        <is>
          <t>LU1897556517.EUFUND</t>
        </is>
      </c>
      <c r="C183" t="inlineStr">
        <is>
          <t>FUND</t>
        </is>
      </c>
      <c r="D183" t="inlineStr">
        <is>
          <t>EQUITY</t>
        </is>
      </c>
      <c r="E183" t="inlineStr">
        <is>
          <t>fondos-bolsa</t>
        </is>
      </c>
      <c r="F183" t="inlineStr">
        <is>
          <t>Groupama Global Disruption NC</t>
        </is>
      </c>
      <c r="G183" t="inlineStr">
        <is>
          <t>EUR</t>
        </is>
      </c>
      <c r="H183" s="2" t="inlineStr">
        <is>
          <t>si</t>
        </is>
      </c>
    </row>
    <row r="184">
      <c r="A184" t="inlineStr">
        <is>
          <t>ES0140643034</t>
        </is>
      </c>
      <c r="B184" t="inlineStr">
        <is>
          <t>ES0140643034.EUFUND</t>
        </is>
      </c>
      <c r="C184" t="inlineStr">
        <is>
          <t>FUND</t>
        </is>
      </c>
      <c r="D184" t="inlineStr">
        <is>
          <t>EQUITY</t>
        </is>
      </c>
      <c r="E184" t="inlineStr">
        <is>
          <t>fondos-bolsa</t>
        </is>
      </c>
      <c r="F184" t="inlineStr">
        <is>
          <t>GVC GAESCO EUROPA  FI</t>
        </is>
      </c>
      <c r="G184" t="inlineStr">
        <is>
          <t>EUR</t>
        </is>
      </c>
      <c r="H184" s="2" t="inlineStr">
        <is>
          <t>si</t>
        </is>
      </c>
    </row>
    <row r="185">
      <c r="A185" t="inlineStr">
        <is>
          <t>ES0141113037</t>
        </is>
      </c>
      <c r="B185" t="inlineStr">
        <is>
          <t>ES0141113037.EUFUND</t>
        </is>
      </c>
      <c r="C185" t="inlineStr">
        <is>
          <t>FUND</t>
        </is>
      </c>
      <c r="D185" t="inlineStr">
        <is>
          <t>EQUITY</t>
        </is>
      </c>
      <c r="E185" t="inlineStr">
        <is>
          <t>fondos-bolsa</t>
        </is>
      </c>
      <c r="F185" t="inlineStr">
        <is>
          <t>GVCGAESCO JAPON  FI</t>
        </is>
      </c>
      <c r="G185" t="inlineStr">
        <is>
          <t>EUR</t>
        </is>
      </c>
      <c r="H185" s="2" t="inlineStr">
        <is>
          <t>si</t>
        </is>
      </c>
    </row>
    <row r="186">
      <c r="A186" t="inlineStr">
        <is>
          <t>LU3038481936</t>
        </is>
      </c>
      <c r="B186" t="inlineStr">
        <is>
          <t>LU3038481936.EUFUND</t>
        </is>
      </c>
      <c r="C186" t="inlineStr">
        <is>
          <t>FUND</t>
        </is>
      </c>
      <c r="D186" t="inlineStr">
        <is>
          <t>EQUITY</t>
        </is>
      </c>
      <c r="E186" t="inlineStr">
        <is>
          <t>fondos-bolsa</t>
        </is>
      </c>
      <c r="F186" t="inlineStr">
        <is>
          <t>Hamco SICAV - Global Value R EUR Acc</t>
        </is>
      </c>
      <c r="G186" t="inlineStr">
        <is>
          <t>EUR</t>
        </is>
      </c>
      <c r="H186" s="2" t="inlineStr">
        <is>
          <t>si</t>
        </is>
      </c>
    </row>
    <row r="187">
      <c r="A187" t="inlineStr">
        <is>
          <t>ES0146309002</t>
        </is>
      </c>
      <c r="B187" t="inlineStr">
        <is>
          <t>ES0146309002.EUFUND</t>
        </is>
      </c>
      <c r="C187" t="inlineStr">
        <is>
          <t>FUND</t>
        </is>
      </c>
      <c r="D187" t="inlineStr">
        <is>
          <t>EQUITY</t>
        </is>
      </c>
      <c r="E187" t="inlineStr">
        <is>
          <t>fondos-bolsa</t>
        </is>
      </c>
      <c r="F187" t="inlineStr">
        <is>
          <t>HOROS VALUE INTERNACIONAL FI</t>
        </is>
      </c>
      <c r="G187" t="inlineStr">
        <is>
          <t>EUR</t>
        </is>
      </c>
      <c r="H187" s="2" t="inlineStr">
        <is>
          <t>si</t>
        </is>
      </c>
    </row>
    <row r="188">
      <c r="A188" t="inlineStr">
        <is>
          <t>LU0165074666</t>
        </is>
      </c>
      <c r="B188" t="inlineStr">
        <is>
          <t>LU0165074666.EUFUND</t>
        </is>
      </c>
      <c r="C188" t="inlineStr">
        <is>
          <t>FUND</t>
        </is>
      </c>
      <c r="D188" t="inlineStr">
        <is>
          <t>EQUITY</t>
        </is>
      </c>
      <c r="E188" t="inlineStr">
        <is>
          <t>fondos-bolsa</t>
        </is>
      </c>
      <c r="F188" t="inlineStr">
        <is>
          <t>HSBC Global Investment Funds - Euroland Value AC</t>
        </is>
      </c>
      <c r="G188" t="inlineStr">
        <is>
          <t>EUR</t>
        </is>
      </c>
      <c r="H188" s="2" t="inlineStr">
        <is>
          <t>si</t>
        </is>
      </c>
    </row>
    <row r="189">
      <c r="A189" t="inlineStr">
        <is>
          <t>LU0165081950</t>
        </is>
      </c>
      <c r="B189" t="inlineStr">
        <is>
          <t>LU0165081950.EUFUND</t>
        </is>
      </c>
      <c r="C189" t="inlineStr">
        <is>
          <t>FUND</t>
        </is>
      </c>
      <c r="D189" t="inlineStr">
        <is>
          <t>EQUITY</t>
        </is>
      </c>
      <c r="E189" t="inlineStr">
        <is>
          <t>fondos-bolsa</t>
        </is>
      </c>
      <c r="F189" t="inlineStr">
        <is>
          <t>HSBC Global Investment Funds - Euroland Value EC</t>
        </is>
      </c>
      <c r="G189" t="inlineStr">
        <is>
          <t>EUR</t>
        </is>
      </c>
      <c r="H189" s="2" t="inlineStr">
        <is>
          <t>si</t>
        </is>
      </c>
    </row>
    <row r="190">
      <c r="A190" t="inlineStr">
        <is>
          <t>LU0933684101</t>
        </is>
      </c>
      <c r="B190" t="inlineStr">
        <is>
          <t>LU0933684101.EUFUND</t>
        </is>
      </c>
      <c r="C190" t="inlineStr">
        <is>
          <t>FUND</t>
        </is>
      </c>
      <c r="D190" t="inlineStr">
        <is>
          <t>EQUITY</t>
        </is>
      </c>
      <c r="E190" t="inlineStr">
        <is>
          <t>fondos-bolsa</t>
        </is>
      </c>
      <c r="F190" t="inlineStr">
        <is>
          <t>Incometric Equam Global Value A</t>
        </is>
      </c>
      <c r="G190" t="inlineStr">
        <is>
          <t>EUR</t>
        </is>
      </c>
      <c r="H190" s="2" t="inlineStr">
        <is>
          <t>si</t>
        </is>
      </c>
    </row>
    <row r="191">
      <c r="A191" t="inlineStr">
        <is>
          <t>LU2357235493</t>
        </is>
      </c>
      <c r="B191" t="inlineStr">
        <is>
          <t>LU2357235493.EUFUND</t>
        </is>
      </c>
      <c r="C191" t="inlineStr">
        <is>
          <t>FUND</t>
        </is>
      </c>
      <c r="D191" t="inlineStr">
        <is>
          <t>EQUITY</t>
        </is>
      </c>
      <c r="E191" t="inlineStr">
        <is>
          <t>fondos-bolsa</t>
        </is>
      </c>
      <c r="F191" t="inlineStr">
        <is>
          <t>Incometric Fund Nartex Equity Fund A Cap EUR Accumulation</t>
        </is>
      </c>
      <c r="G191" t="inlineStr">
        <is>
          <t>EUR</t>
        </is>
      </c>
      <c r="H191" s="2" t="inlineStr">
        <is>
          <t>si</t>
        </is>
      </c>
    </row>
    <row r="192">
      <c r="A192" t="inlineStr">
        <is>
          <t>LU2357235576</t>
        </is>
      </c>
      <c r="B192" t="inlineStr">
        <is>
          <t>LU2357235576.EUFUND</t>
        </is>
      </c>
      <c r="C192" t="inlineStr">
        <is>
          <t>FUND</t>
        </is>
      </c>
      <c r="D192" t="inlineStr">
        <is>
          <t>EQUITY</t>
        </is>
      </c>
      <c r="E192" t="inlineStr">
        <is>
          <t>fondos-bolsa</t>
        </is>
      </c>
      <c r="F192" t="inlineStr">
        <is>
          <t>Incometric Fund Nartex Equity Fund R Cap EUR Accumulation</t>
        </is>
      </c>
      <c r="G192" t="inlineStr">
        <is>
          <t>EUR</t>
        </is>
      </c>
      <c r="H192" s="2" t="inlineStr">
        <is>
          <t>si</t>
        </is>
      </c>
    </row>
    <row r="193">
      <c r="A193" t="inlineStr">
        <is>
          <t>ES0155142005</t>
        </is>
      </c>
      <c r="B193" t="inlineStr">
        <is>
          <t>ES0155142005.EUFUND</t>
        </is>
      </c>
      <c r="C193" t="inlineStr">
        <is>
          <t>FUND</t>
        </is>
      </c>
      <c r="D193" t="inlineStr">
        <is>
          <t>EQUITY</t>
        </is>
      </c>
      <c r="E193" t="inlineStr">
        <is>
          <t>fondos-bolsa</t>
        </is>
      </c>
      <c r="F193" t="inlineStr">
        <is>
          <t>INTERMONEY VARIABLE EURO  FI</t>
        </is>
      </c>
      <c r="G193" t="inlineStr">
        <is>
          <t>EUR</t>
        </is>
      </c>
      <c r="H193" s="2" t="inlineStr">
        <is>
          <t>si</t>
        </is>
      </c>
    </row>
    <row r="194">
      <c r="A194" t="inlineStr">
        <is>
          <t>LU0115143082</t>
        </is>
      </c>
      <c r="B194" t="inlineStr">
        <is>
          <t>LU0115143082.EUFUND</t>
        </is>
      </c>
      <c r="C194" t="inlineStr">
        <is>
          <t>FUND</t>
        </is>
      </c>
      <c r="D194" t="inlineStr">
        <is>
          <t>EQUITY</t>
        </is>
      </c>
      <c r="E194" t="inlineStr">
        <is>
          <t>fondos-bolsa</t>
        </is>
      </c>
      <c r="F194" t="inlineStr">
        <is>
          <t>Invesco Funds - Invesco Asia Opportunities Equity Fund E Accumulation EUR</t>
        </is>
      </c>
      <c r="G194" t="inlineStr">
        <is>
          <t>EUR</t>
        </is>
      </c>
      <c r="H194" s="2" t="inlineStr">
        <is>
          <t>si</t>
        </is>
      </c>
    </row>
    <row r="195">
      <c r="A195" t="inlineStr">
        <is>
          <t>LU1775950477</t>
        </is>
      </c>
      <c r="B195" t="inlineStr">
        <is>
          <t>LU1775950477.EUFUND</t>
        </is>
      </c>
      <c r="C195" t="inlineStr">
        <is>
          <t>FUND</t>
        </is>
      </c>
      <c r="D195" t="inlineStr">
        <is>
          <t>EQUITY</t>
        </is>
      </c>
      <c r="E195" t="inlineStr">
        <is>
          <t>fondos-bolsa</t>
        </is>
      </c>
      <c r="F195" t="inlineStr">
        <is>
          <t>Invesco Funds - Invesco Asian Equity Fund E Accumulation EUR</t>
        </is>
      </c>
      <c r="G195" t="inlineStr">
        <is>
          <t>EUR</t>
        </is>
      </c>
      <c r="H195" s="2" t="inlineStr">
        <is>
          <t>si</t>
        </is>
      </c>
    </row>
    <row r="196">
      <c r="A196" t="inlineStr">
        <is>
          <t>LU0607512935</t>
        </is>
      </c>
      <c r="B196" t="inlineStr">
        <is>
          <t>LU0607512935.EUFUND</t>
        </is>
      </c>
      <c r="C196" t="inlineStr">
        <is>
          <t>FUND</t>
        </is>
      </c>
      <c r="D196" t="inlineStr">
        <is>
          <t>EQUITY</t>
        </is>
      </c>
      <c r="E196" t="inlineStr">
        <is>
          <t>fondos-bolsa</t>
        </is>
      </c>
      <c r="F196" t="inlineStr">
        <is>
          <t>Invesco Funds - Invesco Developed Small and Mid-Cap Equity Fund E Accumulation EUR</t>
        </is>
      </c>
      <c r="G196" t="inlineStr">
        <is>
          <t>EUR</t>
        </is>
      </c>
      <c r="H196" s="2" t="inlineStr">
        <is>
          <t>si</t>
        </is>
      </c>
    </row>
    <row r="197">
      <c r="A197" t="inlineStr">
        <is>
          <t>LU0115139569</t>
        </is>
      </c>
      <c r="B197" t="inlineStr">
        <is>
          <t>LU0115139569.EUFUND</t>
        </is>
      </c>
      <c r="C197" t="inlineStr">
        <is>
          <t>FUND</t>
        </is>
      </c>
      <c r="D197" t="inlineStr">
        <is>
          <t>EQUITY</t>
        </is>
      </c>
      <c r="E197" t="inlineStr">
        <is>
          <t>fondos-bolsa</t>
        </is>
      </c>
      <c r="F197" t="inlineStr">
        <is>
          <t>Invesco Funds - Invesco Global Consumer Trends Fund E Accumulation EUR</t>
        </is>
      </c>
      <c r="G197" t="inlineStr">
        <is>
          <t>EUR</t>
        </is>
      </c>
      <c r="H197" s="2" t="inlineStr">
        <is>
          <t>si</t>
        </is>
      </c>
    </row>
    <row r="198">
      <c r="A198" t="inlineStr">
        <is>
          <t>LU0607513586</t>
        </is>
      </c>
      <c r="B198" t="inlineStr">
        <is>
          <t>LU0607513586.EUFUND</t>
        </is>
      </c>
      <c r="C198" t="inlineStr">
        <is>
          <t>FUND</t>
        </is>
      </c>
      <c r="D198" t="inlineStr">
        <is>
          <t>EQUITY</t>
        </is>
      </c>
      <c r="E198" t="inlineStr">
        <is>
          <t>fondos-bolsa</t>
        </is>
      </c>
      <c r="F198" t="inlineStr">
        <is>
          <t>Invesco Funds - Invesco Global Equity Income Fund E Accumulation EUR</t>
        </is>
      </c>
      <c r="G198" t="inlineStr">
        <is>
          <t>EUR</t>
        </is>
      </c>
      <c r="H198" s="2" t="inlineStr">
        <is>
          <t>si</t>
        </is>
      </c>
    </row>
    <row r="199">
      <c r="A199" t="inlineStr">
        <is>
          <t>LU2601038578</t>
        </is>
      </c>
      <c r="B199" t="inlineStr">
        <is>
          <t>LU2601038578.EUFUND</t>
        </is>
      </c>
      <c r="C199" t="inlineStr">
        <is>
          <t>FUND</t>
        </is>
      </c>
      <c r="D199" t="inlineStr">
        <is>
          <t>EQUITY</t>
        </is>
      </c>
      <c r="E199" t="inlineStr">
        <is>
          <t>fondos-bolsa</t>
        </is>
      </c>
      <c r="F199" t="inlineStr">
        <is>
          <t>Invesco Funds - Invesco Global Founders &amp; Owners Fund A Accumulation EUR</t>
        </is>
      </c>
      <c r="G199" t="inlineStr">
        <is>
          <t>EUR</t>
        </is>
      </c>
      <c r="H199" s="2" t="inlineStr">
        <is>
          <t>si</t>
        </is>
      </c>
    </row>
    <row r="200">
      <c r="A200" t="inlineStr">
        <is>
          <t>LU1762221155</t>
        </is>
      </c>
      <c r="B200" t="inlineStr">
        <is>
          <t>LU1762221155.EUFUND</t>
        </is>
      </c>
      <c r="C200" t="inlineStr">
        <is>
          <t>FUND</t>
        </is>
      </c>
      <c r="D200" t="inlineStr">
        <is>
          <t>EQUITY</t>
        </is>
      </c>
      <c r="E200" t="inlineStr">
        <is>
          <t>fondos-bolsa</t>
        </is>
      </c>
      <c r="F200" t="inlineStr">
        <is>
          <t>Invesco Funds - Invesco Global Founders &amp; Owners Fund E Accumulation EUR</t>
        </is>
      </c>
      <c r="G200" t="inlineStr">
        <is>
          <t>EUR</t>
        </is>
      </c>
      <c r="H200" s="2" t="inlineStr">
        <is>
          <t>si</t>
        </is>
      </c>
    </row>
    <row r="201">
      <c r="A201" t="inlineStr">
        <is>
          <t>LU0267984697</t>
        </is>
      </c>
      <c r="B201" t="inlineStr">
        <is>
          <t>LU0267984697.EUFUND</t>
        </is>
      </c>
      <c r="C201" t="inlineStr">
        <is>
          <t>FUND</t>
        </is>
      </c>
      <c r="D201" t="inlineStr">
        <is>
          <t>EQUITY</t>
        </is>
      </c>
      <c r="E201" t="inlineStr">
        <is>
          <t>fondos-bolsa</t>
        </is>
      </c>
      <c r="F201" t="inlineStr">
        <is>
          <t>Invesco Funds - Invesco India Equity Fund E Accumulation EUR</t>
        </is>
      </c>
      <c r="G201" t="inlineStr">
        <is>
          <t>EUR</t>
        </is>
      </c>
      <c r="H201" s="2" t="inlineStr">
        <is>
          <t>si</t>
        </is>
      </c>
    </row>
    <row r="202">
      <c r="A202" t="inlineStr">
        <is>
          <t>LU0115141201</t>
        </is>
      </c>
      <c r="B202" t="inlineStr">
        <is>
          <t>LU0115141201.EUFUND</t>
        </is>
      </c>
      <c r="C202" t="inlineStr">
        <is>
          <t>FUND</t>
        </is>
      </c>
      <c r="D202" t="inlineStr">
        <is>
          <t>EQUITY</t>
        </is>
      </c>
      <c r="E202" t="inlineStr">
        <is>
          <t>fondos-bolsa</t>
        </is>
      </c>
      <c r="F202" t="inlineStr">
        <is>
          <t>Invesco Funds - Invesco Pan European Equity Fund E Accumulation EUR</t>
        </is>
      </c>
      <c r="G202" t="inlineStr">
        <is>
          <t>EUR</t>
        </is>
      </c>
      <c r="H202" s="2" t="inlineStr">
        <is>
          <t>si</t>
        </is>
      </c>
    </row>
    <row r="203">
      <c r="A203" t="inlineStr">
        <is>
          <t>LU0028119013</t>
        </is>
      </c>
      <c r="B203" t="inlineStr">
        <is>
          <t>LU0028119013.EUFUND</t>
        </is>
      </c>
      <c r="C203" t="inlineStr">
        <is>
          <t>FUND</t>
        </is>
      </c>
      <c r="D203" t="inlineStr">
        <is>
          <t>EQUITY</t>
        </is>
      </c>
      <c r="E203" t="inlineStr">
        <is>
          <t>fondos-bolsa</t>
        </is>
      </c>
      <c r="F203" t="inlineStr">
        <is>
          <t>Invesco Funds - Invesco Pan European Small Cap Equity Fund A Accumulation EUR</t>
        </is>
      </c>
      <c r="G203" t="inlineStr">
        <is>
          <t>EUR</t>
        </is>
      </c>
      <c r="H203" s="2" t="inlineStr">
        <is>
          <t>si</t>
        </is>
      </c>
    </row>
    <row r="204">
      <c r="A204" t="inlineStr">
        <is>
          <t>LU0119750205</t>
        </is>
      </c>
      <c r="B204" t="inlineStr">
        <is>
          <t>LU0119750205.EUFUND</t>
        </is>
      </c>
      <c r="C204" t="inlineStr">
        <is>
          <t>FUND</t>
        </is>
      </c>
      <c r="D204" t="inlineStr">
        <is>
          <t>EQUITY</t>
        </is>
      </c>
      <c r="E204" t="inlineStr">
        <is>
          <t>fondos-bolsa</t>
        </is>
      </c>
      <c r="F204" t="inlineStr">
        <is>
          <t>Invesco Funds - Invesco Sustainable Pan European Systematic Equity Fund A Acc EUR</t>
        </is>
      </c>
      <c r="G204" t="inlineStr">
        <is>
          <t>EUR</t>
        </is>
      </c>
      <c r="H204" s="2" t="inlineStr">
        <is>
          <t>si</t>
        </is>
      </c>
    </row>
    <row r="205">
      <c r="A205" t="inlineStr">
        <is>
          <t>LU0119753308</t>
        </is>
      </c>
      <c r="B205" t="inlineStr">
        <is>
          <t>LU0119753308.EUFUND</t>
        </is>
      </c>
      <c r="C205" t="inlineStr">
        <is>
          <t>FUND</t>
        </is>
      </c>
      <c r="D205" t="inlineStr">
        <is>
          <t>EQUITY</t>
        </is>
      </c>
      <c r="E205" t="inlineStr">
        <is>
          <t>fondos-bolsa</t>
        </is>
      </c>
      <c r="F205" t="inlineStr">
        <is>
          <t>Invesco Funds - Invesco Sustainable Pan European Systematic Equity Fund E Acc EUR</t>
        </is>
      </c>
      <c r="G205" t="inlineStr">
        <is>
          <t>EUR</t>
        </is>
      </c>
      <c r="H205" s="2" t="inlineStr">
        <is>
          <t>si</t>
        </is>
      </c>
    </row>
    <row r="206">
      <c r="A206" t="inlineStr">
        <is>
          <t>LU0011889846</t>
        </is>
      </c>
      <c r="B206" t="inlineStr">
        <is>
          <t>LU0011889846.EUFUND</t>
        </is>
      </c>
      <c r="C206" t="inlineStr">
        <is>
          <t>FUND</t>
        </is>
      </c>
      <c r="D206" t="inlineStr">
        <is>
          <t>EQUITY</t>
        </is>
      </c>
      <c r="E206" t="inlineStr">
        <is>
          <t>fondos-bolsa</t>
        </is>
      </c>
      <c r="F206" t="inlineStr">
        <is>
          <t>Janus Henderson Horizon Euroland Fund A2 EUR</t>
        </is>
      </c>
      <c r="G206" t="inlineStr">
        <is>
          <t>EUR</t>
        </is>
      </c>
      <c r="H206" s="2" t="inlineStr">
        <is>
          <t>si</t>
        </is>
      </c>
    </row>
    <row r="207">
      <c r="A207" t="inlineStr">
        <is>
          <t>LU0264738294</t>
        </is>
      </c>
      <c r="B207" t="inlineStr">
        <is>
          <t>LU0264738294.EUFUND</t>
        </is>
      </c>
      <c r="C207" t="inlineStr">
        <is>
          <t>FUND</t>
        </is>
      </c>
      <c r="D207" t="inlineStr">
        <is>
          <t>EQUITY</t>
        </is>
      </c>
      <c r="E207" t="inlineStr">
        <is>
          <t>fondos-bolsa</t>
        </is>
      </c>
      <c r="F207" t="inlineStr">
        <is>
          <t>Janus Henderson Horizon Global Property Equities Fund A2 EUR</t>
        </is>
      </c>
      <c r="G207" t="inlineStr">
        <is>
          <t>EUR</t>
        </is>
      </c>
      <c r="H207" s="2" t="inlineStr">
        <is>
          <t>si</t>
        </is>
      </c>
    </row>
    <row r="208">
      <c r="A208" t="inlineStr">
        <is>
          <t>LU0201075453</t>
        </is>
      </c>
      <c r="B208" t="inlineStr">
        <is>
          <t>LU0201075453.EUFUND</t>
        </is>
      </c>
      <c r="C208" t="inlineStr">
        <is>
          <t>FUND</t>
        </is>
      </c>
      <c r="D208" t="inlineStr">
        <is>
          <t>EQUITY</t>
        </is>
      </c>
      <c r="E208" t="inlineStr">
        <is>
          <t>fondos-bolsa</t>
        </is>
      </c>
      <c r="F208" t="inlineStr">
        <is>
          <t>Janus Henderson Pan European Fund A2 EUR</t>
        </is>
      </c>
      <c r="G208" t="inlineStr">
        <is>
          <t>EUR</t>
        </is>
      </c>
      <c r="H208" s="2" t="inlineStr">
        <is>
          <t>si</t>
        </is>
      </c>
    </row>
    <row r="209">
      <c r="A209" t="inlineStr">
        <is>
          <t>LU0862450516</t>
        </is>
      </c>
      <c r="B209" t="inlineStr">
        <is>
          <t>LU0862450516.EUFUND</t>
        </is>
      </c>
      <c r="C209" t="inlineStr">
        <is>
          <t>FUND</t>
        </is>
      </c>
      <c r="D209" t="inlineStr">
        <is>
          <t>EQUITY</t>
        </is>
      </c>
      <c r="E209" t="inlineStr">
        <is>
          <t>fondos-bolsa</t>
        </is>
      </c>
      <c r="F209" t="inlineStr">
        <is>
          <t>JPMorgan Funds - Emerging Markets Dividend Fund D (acc) EUR</t>
        </is>
      </c>
      <c r="G209" t="inlineStr">
        <is>
          <t>EUR</t>
        </is>
      </c>
      <c r="H209" s="2" t="inlineStr">
        <is>
          <t>si</t>
        </is>
      </c>
    </row>
    <row r="210">
      <c r="A210" t="inlineStr">
        <is>
          <t>LU0217576833</t>
        </is>
      </c>
      <c r="B210" t="inlineStr">
        <is>
          <t>LU0217576833.EUFUND</t>
        </is>
      </c>
      <c r="C210" t="inlineStr">
        <is>
          <t>FUND</t>
        </is>
      </c>
      <c r="D210" t="inlineStr">
        <is>
          <t>EQUITY</t>
        </is>
      </c>
      <c r="E210" t="inlineStr">
        <is>
          <t>fondos-bolsa</t>
        </is>
      </c>
      <c r="F210" t="inlineStr">
        <is>
          <t>JPMorgan Funds - Emerging Markets Equity Fund D (acc) EUR</t>
        </is>
      </c>
      <c r="G210" t="inlineStr">
        <is>
          <t>EUR</t>
        </is>
      </c>
      <c r="H210" s="2" t="inlineStr">
        <is>
          <t>si</t>
        </is>
      </c>
    </row>
    <row r="211">
      <c r="A211" t="inlineStr">
        <is>
          <t>LU0661986348</t>
        </is>
      </c>
      <c r="B211" t="inlineStr">
        <is>
          <t>LU0661986348.EUFUND</t>
        </is>
      </c>
      <c r="C211" t="inlineStr">
        <is>
          <t>FUND</t>
        </is>
      </c>
      <c r="D211" t="inlineStr">
        <is>
          <t>EQUITY</t>
        </is>
      </c>
      <c r="E211" t="inlineStr">
        <is>
          <t>fondos-bolsa</t>
        </is>
      </c>
      <c r="F211" t="inlineStr">
        <is>
          <t>JPMorgan Funds - Euroland Dynamic Fund D (perf) (acc) EUR</t>
        </is>
      </c>
      <c r="G211" t="inlineStr">
        <is>
          <t>EUR</t>
        </is>
      </c>
      <c r="H211" s="2" t="inlineStr">
        <is>
          <t>si</t>
        </is>
      </c>
    </row>
    <row r="212">
      <c r="A212" t="inlineStr">
        <is>
          <t>LU0117858166</t>
        </is>
      </c>
      <c r="B212" t="inlineStr">
        <is>
          <t>LU0117858166.EUFUND</t>
        </is>
      </c>
      <c r="C212" t="inlineStr">
        <is>
          <t>FUND</t>
        </is>
      </c>
      <c r="D212" t="inlineStr">
        <is>
          <t>EQUITY</t>
        </is>
      </c>
      <c r="E212" t="inlineStr">
        <is>
          <t>fondos-bolsa</t>
        </is>
      </c>
      <c r="F212" t="inlineStr">
        <is>
          <t>JPMorgan Funds - Euroland Equity Fund D (acc) EUR</t>
        </is>
      </c>
      <c r="G212" t="inlineStr">
        <is>
          <t>EUR</t>
        </is>
      </c>
      <c r="H212" s="2" t="inlineStr">
        <is>
          <t>si</t>
        </is>
      </c>
    </row>
    <row r="213">
      <c r="A213" t="inlineStr">
        <is>
          <t>LU0119063039</t>
        </is>
      </c>
      <c r="B213" t="inlineStr">
        <is>
          <t>LU0119063039.EUFUND</t>
        </is>
      </c>
      <c r="C213" t="inlineStr">
        <is>
          <t>FUND</t>
        </is>
      </c>
      <c r="D213" t="inlineStr">
        <is>
          <t>EQUITY</t>
        </is>
      </c>
      <c r="E213" t="inlineStr">
        <is>
          <t>fondos-bolsa</t>
        </is>
      </c>
      <c r="F213" t="inlineStr">
        <is>
          <t>JPMorgan Funds - Europe Dynamic Fund D (acc) EUR</t>
        </is>
      </c>
      <c r="G213" t="inlineStr">
        <is>
          <t>EUR</t>
        </is>
      </c>
      <c r="H213" s="2" t="inlineStr">
        <is>
          <t>si</t>
        </is>
      </c>
    </row>
    <row r="214">
      <c r="A214" t="inlineStr">
        <is>
          <t>LU0117884675</t>
        </is>
      </c>
      <c r="B214" t="inlineStr">
        <is>
          <t>LU0117884675.EUFUND</t>
        </is>
      </c>
      <c r="C214" t="inlineStr">
        <is>
          <t>FUND</t>
        </is>
      </c>
      <c r="D214" t="inlineStr">
        <is>
          <t>EQUITY</t>
        </is>
      </c>
      <c r="E214" t="inlineStr">
        <is>
          <t>fondos-bolsa</t>
        </is>
      </c>
      <c r="F214" t="inlineStr">
        <is>
          <t>JPMorgan Funds - Europe Dynamic Technologies Fund D (acc) EUR</t>
        </is>
      </c>
      <c r="G214" t="inlineStr">
        <is>
          <t>EUR</t>
        </is>
      </c>
      <c r="H214" s="2" t="inlineStr">
        <is>
          <t>si</t>
        </is>
      </c>
    </row>
    <row r="215">
      <c r="A215" t="inlineStr">
        <is>
          <t>LU0117858596</t>
        </is>
      </c>
      <c r="B215" t="inlineStr">
        <is>
          <t>LU0117858596.EUFUND</t>
        </is>
      </c>
      <c r="C215" t="inlineStr">
        <is>
          <t>FUND</t>
        </is>
      </c>
      <c r="D215" t="inlineStr">
        <is>
          <t>EQUITY</t>
        </is>
      </c>
      <c r="E215" t="inlineStr">
        <is>
          <t>fondos-bolsa</t>
        </is>
      </c>
      <c r="F215" t="inlineStr">
        <is>
          <t>JPMorgan Funds - Europe Equity Fund D (acc) EUR</t>
        </is>
      </c>
      <c r="G215" t="inlineStr">
        <is>
          <t>EUR</t>
        </is>
      </c>
      <c r="H215" s="2" t="inlineStr">
        <is>
          <t>si</t>
        </is>
      </c>
    </row>
    <row r="216">
      <c r="A216" t="inlineStr">
        <is>
          <t>LU0289089384</t>
        </is>
      </c>
      <c r="B216" t="inlineStr">
        <is>
          <t>LU0289089384.EUFUND</t>
        </is>
      </c>
      <c r="C216" t="inlineStr">
        <is>
          <t>FUND</t>
        </is>
      </c>
      <c r="D216" t="inlineStr">
        <is>
          <t>EQUITY</t>
        </is>
      </c>
      <c r="E216" t="inlineStr">
        <is>
          <t>fondos-bolsa</t>
        </is>
      </c>
      <c r="F216" t="inlineStr">
        <is>
          <t>JPMorgan Funds - Europe Equity Plus Fund A (perf) (acc) EUR</t>
        </is>
      </c>
      <c r="G216" t="inlineStr">
        <is>
          <t>EUR</t>
        </is>
      </c>
      <c r="H216" s="2" t="inlineStr">
        <is>
          <t>si</t>
        </is>
      </c>
    </row>
    <row r="217">
      <c r="A217" t="inlineStr">
        <is>
          <t>LU0289214628</t>
        </is>
      </c>
      <c r="B217" t="inlineStr">
        <is>
          <t>LU0289214628.EUFUND</t>
        </is>
      </c>
      <c r="C217" t="inlineStr">
        <is>
          <t>FUND</t>
        </is>
      </c>
      <c r="D217" t="inlineStr">
        <is>
          <t>EQUITY</t>
        </is>
      </c>
      <c r="E217" t="inlineStr">
        <is>
          <t>fondos-bolsa</t>
        </is>
      </c>
      <c r="F217" t="inlineStr">
        <is>
          <t>JPMorgan Funds - Europe Equity Plus Fund D (perf) (acc) EUR</t>
        </is>
      </c>
      <c r="G217" t="inlineStr">
        <is>
          <t>EUR</t>
        </is>
      </c>
      <c r="H217" s="2" t="inlineStr">
        <is>
          <t>si</t>
        </is>
      </c>
    </row>
    <row r="218">
      <c r="A218" t="inlineStr">
        <is>
          <t>LU0117859560</t>
        </is>
      </c>
      <c r="B218" t="inlineStr">
        <is>
          <t>LU0117859560.EUFUND</t>
        </is>
      </c>
      <c r="C218" t="inlineStr">
        <is>
          <t>FUND</t>
        </is>
      </c>
      <c r="D218" t="inlineStr">
        <is>
          <t>EQUITY</t>
        </is>
      </c>
      <c r="E218" t="inlineStr">
        <is>
          <t>fondos-bolsa</t>
        </is>
      </c>
      <c r="F218" t="inlineStr">
        <is>
          <t>JPMorgan Funds - Europe Small Cap Fund D (acc) EUR</t>
        </is>
      </c>
      <c r="G218" t="inlineStr">
        <is>
          <t>EUR</t>
        </is>
      </c>
      <c r="H218" s="2" t="inlineStr">
        <is>
          <t>si</t>
        </is>
      </c>
    </row>
    <row r="219">
      <c r="A219" t="inlineStr">
        <is>
          <t>LU0117858679</t>
        </is>
      </c>
      <c r="B219" t="inlineStr">
        <is>
          <t>LU0117858679.EUFUND</t>
        </is>
      </c>
      <c r="C219" t="inlineStr">
        <is>
          <t>FUND</t>
        </is>
      </c>
      <c r="D219" t="inlineStr">
        <is>
          <t>EQUITY</t>
        </is>
      </c>
      <c r="E219" t="inlineStr">
        <is>
          <t>fondos-bolsa</t>
        </is>
      </c>
      <c r="F219" t="inlineStr">
        <is>
          <t>JPMorgan Funds - Europe Strategic Growth Fund D (acc) EUR</t>
        </is>
      </c>
      <c r="G219" t="inlineStr">
        <is>
          <t>EUR</t>
        </is>
      </c>
      <c r="H219" s="2" t="inlineStr">
        <is>
          <t>si</t>
        </is>
      </c>
    </row>
    <row r="220">
      <c r="A220" t="inlineStr">
        <is>
          <t>LU0210531983</t>
        </is>
      </c>
      <c r="B220" t="inlineStr">
        <is>
          <t>LU0210531983.EUFUND</t>
        </is>
      </c>
      <c r="C220" t="inlineStr">
        <is>
          <t>FUND</t>
        </is>
      </c>
      <c r="D220" t="inlineStr">
        <is>
          <t>EQUITY</t>
        </is>
      </c>
      <c r="E220" t="inlineStr">
        <is>
          <t>fondos-bolsa</t>
        </is>
      </c>
      <c r="F220" t="inlineStr">
        <is>
          <t>JPMorgan Funds - Europe Strategic Value Fund A (acc) EUR</t>
        </is>
      </c>
      <c r="G220" t="inlineStr">
        <is>
          <t>EUR</t>
        </is>
      </c>
      <c r="H220" s="2" t="inlineStr">
        <is>
          <t>si</t>
        </is>
      </c>
    </row>
    <row r="221">
      <c r="A221" t="inlineStr">
        <is>
          <t>LU0117858752</t>
        </is>
      </c>
      <c r="B221" t="inlineStr">
        <is>
          <t>LU0117858752.EUFUND</t>
        </is>
      </c>
      <c r="C221" t="inlineStr">
        <is>
          <t>FUND</t>
        </is>
      </c>
      <c r="D221" t="inlineStr">
        <is>
          <t>EQUITY</t>
        </is>
      </c>
      <c r="E221" t="inlineStr">
        <is>
          <t>fondos-bolsa</t>
        </is>
      </c>
      <c r="F221" t="inlineStr">
        <is>
          <t>JPMorgan Funds - Europe Strategic Value Fund D (acc) EUR</t>
        </is>
      </c>
      <c r="G221" t="inlineStr">
        <is>
          <t>EUR</t>
        </is>
      </c>
      <c r="H221" s="2" t="inlineStr">
        <is>
          <t>si</t>
        </is>
      </c>
    </row>
    <row r="222">
      <c r="A222" t="inlineStr">
        <is>
          <t>LU0208853944</t>
        </is>
      </c>
      <c r="B222" t="inlineStr">
        <is>
          <t>LU0208853944.EUFUND</t>
        </is>
      </c>
      <c r="C222" t="inlineStr">
        <is>
          <t>FUND</t>
        </is>
      </c>
      <c r="D222" t="inlineStr">
        <is>
          <t>EQUITY</t>
        </is>
      </c>
      <c r="E222" t="inlineStr">
        <is>
          <t>fondos-bolsa</t>
        </is>
      </c>
      <c r="F222" t="inlineStr">
        <is>
          <t>JPMorgan Funds - Global Natural Resources Fund D (acc) EUR</t>
        </is>
      </c>
      <c r="G222" t="inlineStr">
        <is>
          <t>EUR</t>
        </is>
      </c>
      <c r="H222" s="2" t="inlineStr">
        <is>
          <t>si</t>
        </is>
      </c>
    </row>
    <row r="223">
      <c r="A223" t="inlineStr">
        <is>
          <t>LU0522352516</t>
        </is>
      </c>
      <c r="B223" t="inlineStr">
        <is>
          <t>LU0522352516.EUFUND</t>
        </is>
      </c>
      <c r="C223" t="inlineStr">
        <is>
          <t>FUND</t>
        </is>
      </c>
      <c r="D223" t="inlineStr">
        <is>
          <t>EQUITY</t>
        </is>
      </c>
      <c r="E223" t="inlineStr">
        <is>
          <t>fondos-bolsa</t>
        </is>
      </c>
      <c r="F223" t="inlineStr">
        <is>
          <t>JPMorgan Funds - India Fund D (acc) EUR</t>
        </is>
      </c>
      <c r="G223" t="inlineStr">
        <is>
          <t>EUR</t>
        </is>
      </c>
      <c r="H223" s="2" t="inlineStr">
        <is>
          <t>si</t>
        </is>
      </c>
    </row>
    <row r="224">
      <c r="A224" t="inlineStr">
        <is>
          <t>LU0329203656</t>
        </is>
      </c>
      <c r="B224" t="inlineStr">
        <is>
          <t>LU0329203656.EUFUND</t>
        </is>
      </c>
      <c r="C224" t="inlineStr">
        <is>
          <t>FUND</t>
        </is>
      </c>
      <c r="D224" t="inlineStr">
        <is>
          <t>EQUITY</t>
        </is>
      </c>
      <c r="E224" t="inlineStr">
        <is>
          <t>fondos-bolsa</t>
        </is>
      </c>
      <c r="F224" t="inlineStr">
        <is>
          <t>JPMorgan Investment Funds - Global Dividend Fund D (acc) EUR (hedged)</t>
        </is>
      </c>
      <c r="G224" t="inlineStr">
        <is>
          <t>EUR</t>
        </is>
      </c>
      <c r="H224" s="2" t="inlineStr">
        <is>
          <t>si</t>
        </is>
      </c>
    </row>
    <row r="225">
      <c r="A225" t="inlineStr">
        <is>
          <t>LU0157179127</t>
        </is>
      </c>
      <c r="B225" t="inlineStr">
        <is>
          <t>LU0157179127.EUFUND</t>
        </is>
      </c>
      <c r="C225" t="inlineStr">
        <is>
          <t>FUND</t>
        </is>
      </c>
      <c r="D225" t="inlineStr">
        <is>
          <t>EQUITY</t>
        </is>
      </c>
      <c r="E225" t="inlineStr">
        <is>
          <t>fondos-bolsa</t>
        </is>
      </c>
      <c r="F225" t="inlineStr">
        <is>
          <t>JPMorgan Investment Funds - Global Select Equity Fund D (acc) EUR</t>
        </is>
      </c>
      <c r="G225" t="inlineStr">
        <is>
          <t>EUR</t>
        </is>
      </c>
      <c r="H225" s="2" t="inlineStr">
        <is>
          <t>si</t>
        </is>
      </c>
    </row>
    <row r="226">
      <c r="A226" t="inlineStr">
        <is>
          <t>LU0329206832</t>
        </is>
      </c>
      <c r="B226" t="inlineStr">
        <is>
          <t>LU0329206832.EUFUND</t>
        </is>
      </c>
      <c r="C226" t="inlineStr">
        <is>
          <t>FUND</t>
        </is>
      </c>
      <c r="D226" t="inlineStr">
        <is>
          <t>EQUITY</t>
        </is>
      </c>
      <c r="E226" t="inlineStr">
        <is>
          <t>fondos-bolsa</t>
        </is>
      </c>
      <c r="F226" t="inlineStr">
        <is>
          <t>JPMorgan Investment Funds - Japan Strategic Value Fund D (acc) EUR</t>
        </is>
      </c>
      <c r="G226" t="inlineStr">
        <is>
          <t>EUR</t>
        </is>
      </c>
      <c r="H226" s="2" t="inlineStr">
        <is>
          <t>si</t>
        </is>
      </c>
    </row>
    <row r="227">
      <c r="A227" t="inlineStr">
        <is>
          <t>LU0260085492</t>
        </is>
      </c>
      <c r="B227" t="inlineStr">
        <is>
          <t>LU0260085492.EUFUND</t>
        </is>
      </c>
      <c r="C227" t="inlineStr">
        <is>
          <t>FUND</t>
        </is>
      </c>
      <c r="D227" t="inlineStr">
        <is>
          <t>EQUITY</t>
        </is>
      </c>
      <c r="E227" t="inlineStr">
        <is>
          <t>fondos-bolsa</t>
        </is>
      </c>
      <c r="F227" t="inlineStr">
        <is>
          <t>Jupiter European Select Class L EUR Acc</t>
        </is>
      </c>
      <c r="G227" t="inlineStr">
        <is>
          <t>EUR</t>
        </is>
      </c>
      <c r="H227" s="2" t="inlineStr">
        <is>
          <t>si</t>
        </is>
      </c>
    </row>
    <row r="228">
      <c r="A228" t="inlineStr">
        <is>
          <t>IE00BYVJR916</t>
        </is>
      </c>
      <c r="B228" t="inlineStr">
        <is>
          <t>IE00BYVJR916.EUFUND</t>
        </is>
      </c>
      <c r="C228" t="inlineStr">
        <is>
          <t>FUND</t>
        </is>
      </c>
      <c r="D228" t="inlineStr">
        <is>
          <t>EQUITY</t>
        </is>
      </c>
      <c r="E228" t="inlineStr">
        <is>
          <t>fondos-bolsa</t>
        </is>
      </c>
      <c r="F228" t="inlineStr">
        <is>
          <t>Jupiter Gold &amp; Silver Fund L EUR Acc</t>
        </is>
      </c>
      <c r="G228" t="inlineStr">
        <is>
          <t>EUR</t>
        </is>
      </c>
      <c r="H228" s="2" t="inlineStr">
        <is>
          <t>si</t>
        </is>
      </c>
    </row>
    <row r="229">
      <c r="A229" t="inlineStr">
        <is>
          <t>LU0329070915</t>
        </is>
      </c>
      <c r="B229" t="inlineStr">
        <is>
          <t>LU0329070915.EUFUND</t>
        </is>
      </c>
      <c r="C229" t="inlineStr">
        <is>
          <t>FUND</t>
        </is>
      </c>
      <c r="D229" t="inlineStr">
        <is>
          <t>EQUITY</t>
        </is>
      </c>
      <c r="E229" t="inlineStr">
        <is>
          <t>fondos-bolsa</t>
        </is>
      </c>
      <c r="F229" t="inlineStr">
        <is>
          <t>Jupiter India Select Class L EUR Acc</t>
        </is>
      </c>
      <c r="G229" t="inlineStr">
        <is>
          <t>EUR</t>
        </is>
      </c>
      <c r="H229" s="2" t="inlineStr">
        <is>
          <t>si</t>
        </is>
      </c>
    </row>
    <row r="230">
      <c r="A230" t="inlineStr">
        <is>
          <t>IE00BYR8H148</t>
        </is>
      </c>
      <c r="B230" t="inlineStr">
        <is>
          <t>IE00BYR8H148.EUFUND</t>
        </is>
      </c>
      <c r="C230" t="inlineStr">
        <is>
          <t>FUND</t>
        </is>
      </c>
      <c r="D230" t="inlineStr">
        <is>
          <t>EQUITY</t>
        </is>
      </c>
      <c r="E230" t="inlineStr">
        <is>
          <t>fondos-bolsa</t>
        </is>
      </c>
      <c r="F230" t="inlineStr">
        <is>
          <t>Jupiter Merian World Equity Fund L EUR Acc</t>
        </is>
      </c>
      <c r="G230" t="inlineStr">
        <is>
          <t>EUR</t>
        </is>
      </c>
      <c r="H230" s="2" t="inlineStr">
        <is>
          <t>si</t>
        </is>
      </c>
    </row>
    <row r="231">
      <c r="A231" t="inlineStr">
        <is>
          <t>IE00BLP5S460</t>
        </is>
      </c>
      <c r="B231" t="inlineStr">
        <is>
          <t>IE00BLP5S460.EUFUND</t>
        </is>
      </c>
      <c r="C231" t="inlineStr">
        <is>
          <t>FUND</t>
        </is>
      </c>
      <c r="D231" t="inlineStr">
        <is>
          <t>EQUITY</t>
        </is>
      </c>
      <c r="E231" t="inlineStr">
        <is>
          <t>fondos-bolsa</t>
        </is>
      </c>
      <c r="F231" t="inlineStr">
        <is>
          <t>JupiterMerian Global Equity Absolute Return Fund L (EUR) Hedged Acc</t>
        </is>
      </c>
      <c r="G231" t="inlineStr">
        <is>
          <t>EUR</t>
        </is>
      </c>
      <c r="H231" s="2" t="inlineStr">
        <is>
          <t>si</t>
        </is>
      </c>
    </row>
    <row r="232">
      <c r="A232" t="inlineStr">
        <is>
          <t>FR0000174310</t>
        </is>
      </c>
      <c r="B232" t="inlineStr">
        <is>
          <t>FR0000174310.EUFUND</t>
        </is>
      </c>
      <c r="C232" t="inlineStr">
        <is>
          <t>FUND</t>
        </is>
      </c>
      <c r="D232" t="inlineStr">
        <is>
          <t>EQUITY</t>
        </is>
      </c>
      <c r="E232" t="inlineStr">
        <is>
          <t>fondos-bolsa</t>
        </is>
      </c>
      <c r="F232" t="inlineStr">
        <is>
          <t>Lazard Small Caps Euro I</t>
        </is>
      </c>
      <c r="G232" t="inlineStr">
        <is>
          <t>EUR</t>
        </is>
      </c>
      <c r="H232" s="2" t="inlineStr">
        <is>
          <t>si</t>
        </is>
      </c>
    </row>
    <row r="233">
      <c r="A233" t="inlineStr">
        <is>
          <t>IE00B87MS887</t>
        </is>
      </c>
      <c r="B233" t="inlineStr">
        <is>
          <t>IE00B87MS887.EUFUND</t>
        </is>
      </c>
      <c r="C233" t="inlineStr">
        <is>
          <t>FUND</t>
        </is>
      </c>
      <c r="D233" t="inlineStr">
        <is>
          <t>EQUITY</t>
        </is>
      </c>
      <c r="E233" t="inlineStr">
        <is>
          <t>fondos-bolsa</t>
        </is>
      </c>
      <c r="F233" t="inlineStr">
        <is>
          <t>Liontrust GF Special Situations Fund A1 Acc EUR</t>
        </is>
      </c>
      <c r="G233" t="inlineStr">
        <is>
          <t>EUR</t>
        </is>
      </c>
      <c r="H233" s="2" t="inlineStr">
        <is>
          <t>si</t>
        </is>
      </c>
    </row>
    <row r="234">
      <c r="A234" t="inlineStr">
        <is>
          <t>LU2240056445</t>
        </is>
      </c>
      <c r="B234" t="inlineStr">
        <is>
          <t>LU2240056445.EUFUND</t>
        </is>
      </c>
      <c r="C234" t="inlineStr">
        <is>
          <t>FUND</t>
        </is>
      </c>
      <c r="D234" t="inlineStr">
        <is>
          <t>EQUITY</t>
        </is>
      </c>
      <c r="E234" t="inlineStr">
        <is>
          <t>fondos-bolsa</t>
        </is>
      </c>
      <c r="F234" t="inlineStr">
        <is>
          <t>Lonvia Mid-Cap Euro Retail</t>
        </is>
      </c>
      <c r="G234" t="inlineStr">
        <is>
          <t>EUR</t>
        </is>
      </c>
      <c r="H234" s="2" t="inlineStr">
        <is>
          <t>si</t>
        </is>
      </c>
    </row>
    <row r="235">
      <c r="A235" t="inlineStr">
        <is>
          <t>LU2240056015</t>
        </is>
      </c>
      <c r="B235" t="inlineStr">
        <is>
          <t>LU2240056015.EUFUND</t>
        </is>
      </c>
      <c r="C235" t="inlineStr">
        <is>
          <t>FUND</t>
        </is>
      </c>
      <c r="D235" t="inlineStr">
        <is>
          <t>EQUITY</t>
        </is>
      </c>
      <c r="E235" t="inlineStr">
        <is>
          <t>fondos-bolsa</t>
        </is>
      </c>
      <c r="F235" t="inlineStr">
        <is>
          <t>Lonvia Mid-Cap Europe Retail</t>
        </is>
      </c>
      <c r="G235" t="inlineStr">
        <is>
          <t>EUR</t>
        </is>
      </c>
      <c r="H235" s="2" t="inlineStr">
        <is>
          <t>si</t>
        </is>
      </c>
    </row>
    <row r="236">
      <c r="A236" t="inlineStr">
        <is>
          <t>LU1670618187</t>
        </is>
      </c>
      <c r="B236" t="inlineStr">
        <is>
          <t>LU1670618187.EUFUND</t>
        </is>
      </c>
      <c r="C236" t="inlineStr">
        <is>
          <t>FUND</t>
        </is>
      </c>
      <c r="D236" t="inlineStr">
        <is>
          <t>EQUITY</t>
        </is>
      </c>
      <c r="E236" t="inlineStr">
        <is>
          <t>fondos-bolsa</t>
        </is>
      </c>
      <c r="F236" t="inlineStr">
        <is>
          <t>M&amp;G (Lux) Asian Fund EUR A Acc</t>
        </is>
      </c>
      <c r="G236" t="inlineStr">
        <is>
          <t>EUR</t>
        </is>
      </c>
      <c r="H236" s="2" t="inlineStr">
        <is>
          <t>si</t>
        </is>
      </c>
    </row>
    <row r="237">
      <c r="A237" t="inlineStr">
        <is>
          <t>LU1670707527</t>
        </is>
      </c>
      <c r="B237" t="inlineStr">
        <is>
          <t>LU1670707527.EUFUND</t>
        </is>
      </c>
      <c r="C237" t="inlineStr">
        <is>
          <t>FUND</t>
        </is>
      </c>
      <c r="D237" t="inlineStr">
        <is>
          <t>EQUITY</t>
        </is>
      </c>
      <c r="E237" t="inlineStr">
        <is>
          <t>fondos-bolsa</t>
        </is>
      </c>
      <c r="F237" t="inlineStr">
        <is>
          <t>M&amp;G (Lux) European Strategic Value Fund EUR A Acc</t>
        </is>
      </c>
      <c r="G237" t="inlineStr">
        <is>
          <t>EUR</t>
        </is>
      </c>
      <c r="H237" s="2" t="inlineStr">
        <is>
          <t>si</t>
        </is>
      </c>
    </row>
    <row r="238">
      <c r="A238" t="inlineStr">
        <is>
          <t>LU1670710075</t>
        </is>
      </c>
      <c r="B238" t="inlineStr">
        <is>
          <t>LU1670710075.EUFUND</t>
        </is>
      </c>
      <c r="C238" t="inlineStr">
        <is>
          <t>FUND</t>
        </is>
      </c>
      <c r="D238" t="inlineStr">
        <is>
          <t>EQUITY</t>
        </is>
      </c>
      <c r="E238" t="inlineStr">
        <is>
          <t>fondos-bolsa</t>
        </is>
      </c>
      <c r="F238" t="inlineStr">
        <is>
          <t>M&amp;G (Lux) Global Dividend Fund EUR A Acc</t>
        </is>
      </c>
      <c r="G238" t="inlineStr">
        <is>
          <t>EUR</t>
        </is>
      </c>
      <c r="H238" s="2" t="inlineStr">
        <is>
          <t>si</t>
        </is>
      </c>
    </row>
    <row r="239">
      <c r="A239" t="inlineStr">
        <is>
          <t>LU1670618690</t>
        </is>
      </c>
      <c r="B239" t="inlineStr">
        <is>
          <t>LU1670618690.EUFUND</t>
        </is>
      </c>
      <c r="C239" t="inlineStr">
        <is>
          <t>FUND</t>
        </is>
      </c>
      <c r="D239" t="inlineStr">
        <is>
          <t>EQUITY</t>
        </is>
      </c>
      <c r="E239" t="inlineStr">
        <is>
          <t>fondos-bolsa</t>
        </is>
      </c>
      <c r="F239" t="inlineStr">
        <is>
          <t>M&amp;G (Lux) Global Emerging Markets Fund EUR A Acc</t>
        </is>
      </c>
      <c r="G239" t="inlineStr">
        <is>
          <t>EUR</t>
        </is>
      </c>
      <c r="H239" s="2" t="inlineStr">
        <is>
          <t>si</t>
        </is>
      </c>
    </row>
    <row r="240">
      <c r="A240" t="inlineStr">
        <is>
          <t>LU1665237704</t>
        </is>
      </c>
      <c r="B240" t="inlineStr">
        <is>
          <t>LU1665237704.EUFUND</t>
        </is>
      </c>
      <c r="C240" t="inlineStr">
        <is>
          <t>FUND</t>
        </is>
      </c>
      <c r="D240" t="inlineStr">
        <is>
          <t>EQUITY</t>
        </is>
      </c>
      <c r="E240" t="inlineStr">
        <is>
          <t>fondos-bolsa</t>
        </is>
      </c>
      <c r="F240" t="inlineStr">
        <is>
          <t>M&amp;G (Lux) Global Listed Infrastructure Fund EUR A Acc</t>
        </is>
      </c>
      <c r="G240" t="inlineStr">
        <is>
          <t>EUR</t>
        </is>
      </c>
      <c r="H240" s="2" t="inlineStr">
        <is>
          <t>si</t>
        </is>
      </c>
    </row>
    <row r="241">
      <c r="A241" t="inlineStr">
        <is>
          <t>LU1670626446</t>
        </is>
      </c>
      <c r="B241" t="inlineStr">
        <is>
          <t>LU1670626446.EUFUND</t>
        </is>
      </c>
      <c r="C241" t="inlineStr">
        <is>
          <t>FUND</t>
        </is>
      </c>
      <c r="D241" t="inlineStr">
        <is>
          <t>EQUITY</t>
        </is>
      </c>
      <c r="E241" t="inlineStr">
        <is>
          <t>fondos-bolsa</t>
        </is>
      </c>
      <c r="F241" t="inlineStr">
        <is>
          <t>M&amp;G (Lux) Japan Fund EUR A Acc</t>
        </is>
      </c>
      <c r="G241" t="inlineStr">
        <is>
          <t>EUR</t>
        </is>
      </c>
      <c r="H241" s="2" t="inlineStr">
        <is>
          <t>si</t>
        </is>
      </c>
    </row>
    <row r="242">
      <c r="A242" t="inlineStr">
        <is>
          <t>LU1670715975</t>
        </is>
      </c>
      <c r="B242" t="inlineStr">
        <is>
          <t>LU1670715975.EUFUND</t>
        </is>
      </c>
      <c r="C242" t="inlineStr">
        <is>
          <t>FUND</t>
        </is>
      </c>
      <c r="D242" t="inlineStr">
        <is>
          <t>EQUITY</t>
        </is>
      </c>
      <c r="E242" t="inlineStr">
        <is>
          <t>fondos-bolsa</t>
        </is>
      </c>
      <c r="F242" t="inlineStr">
        <is>
          <t>M&amp;G (Lux) Japan Smaller Companies Fund EUR A Acc</t>
        </is>
      </c>
      <c r="G242" t="inlineStr">
        <is>
          <t>EUR</t>
        </is>
      </c>
      <c r="H242" s="2" t="inlineStr">
        <is>
          <t>si</t>
        </is>
      </c>
    </row>
    <row r="243">
      <c r="A243" t="inlineStr">
        <is>
          <t>ES0159259011</t>
        </is>
      </c>
      <c r="B243" t="inlineStr">
        <is>
          <t>ES0159259011.EUFUND</t>
        </is>
      </c>
      <c r="C243" t="inlineStr">
        <is>
          <t>FUND</t>
        </is>
      </c>
      <c r="D243" t="inlineStr">
        <is>
          <t>EQUITY</t>
        </is>
      </c>
      <c r="E243" t="inlineStr">
        <is>
          <t>fondos-bolsa</t>
        </is>
      </c>
      <c r="F243" t="inlineStr">
        <is>
          <t>MAGALLANES EUROPEAN EQUITY FI</t>
        </is>
      </c>
      <c r="G243" t="inlineStr">
        <is>
          <t>EUR</t>
        </is>
      </c>
      <c r="H243" s="2" t="inlineStr">
        <is>
          <t>si</t>
        </is>
      </c>
    </row>
    <row r="244">
      <c r="A244" t="inlineStr">
        <is>
          <t>ES0159201013</t>
        </is>
      </c>
      <c r="B244" t="inlineStr">
        <is>
          <t>ES0159201013.EUFUND</t>
        </is>
      </c>
      <c r="C244" t="inlineStr">
        <is>
          <t>FUND</t>
        </is>
      </c>
      <c r="D244" t="inlineStr">
        <is>
          <t>EQUITY</t>
        </is>
      </c>
      <c r="E244" t="inlineStr">
        <is>
          <t>fondos-bolsa</t>
        </is>
      </c>
      <c r="F244" t="inlineStr">
        <is>
          <t>MAGALLANES IBERIAN EQUITY FI</t>
        </is>
      </c>
      <c r="G244" t="inlineStr">
        <is>
          <t>EUR</t>
        </is>
      </c>
      <c r="H244" s="2" t="inlineStr">
        <is>
          <t>si</t>
        </is>
      </c>
    </row>
    <row r="245">
      <c r="A245" t="inlineStr">
        <is>
          <t>LU1330191542</t>
        </is>
      </c>
      <c r="B245" t="inlineStr">
        <is>
          <t>LU1330191542.EUFUND</t>
        </is>
      </c>
      <c r="C245" t="inlineStr">
        <is>
          <t>FUND</t>
        </is>
      </c>
      <c r="D245" t="inlineStr">
        <is>
          <t>EQUITY</t>
        </is>
      </c>
      <c r="E245" t="inlineStr">
        <is>
          <t>fondos-bolsa</t>
        </is>
      </c>
      <c r="F245" t="inlineStr">
        <is>
          <t>Magallanes Value Investors UCITS European Equity R EUR</t>
        </is>
      </c>
      <c r="G245" t="inlineStr">
        <is>
          <t>EUR</t>
        </is>
      </c>
      <c r="H245" s="2" t="inlineStr">
        <is>
          <t>si</t>
        </is>
      </c>
    </row>
    <row r="246">
      <c r="A246" t="inlineStr">
        <is>
          <t>ES0162332037</t>
        </is>
      </c>
      <c r="B246" t="inlineStr">
        <is>
          <t>ES0162332037.EUFUND</t>
        </is>
      </c>
      <c r="C246" t="inlineStr">
        <is>
          <t>FUND</t>
        </is>
      </c>
      <c r="D246" t="inlineStr">
        <is>
          <t>EQUITY</t>
        </is>
      </c>
      <c r="E246" t="inlineStr">
        <is>
          <t>fondos-bolsa</t>
        </is>
      </c>
      <c r="F246" t="inlineStr">
        <is>
          <t>MERCHFONDO  FI</t>
        </is>
      </c>
      <c r="G246" t="inlineStr">
        <is>
          <t>EUR</t>
        </is>
      </c>
      <c r="H246" s="2" t="inlineStr">
        <is>
          <t>si</t>
        </is>
      </c>
    </row>
    <row r="247">
      <c r="A247" t="inlineStr">
        <is>
          <t>ES0162368007</t>
        </is>
      </c>
      <c r="B247" t="inlineStr">
        <is>
          <t>ES0162368007.EUFUND</t>
        </is>
      </c>
      <c r="C247" t="inlineStr">
        <is>
          <t>FUND</t>
        </is>
      </c>
      <c r="D247" t="inlineStr">
        <is>
          <t>EQUITY</t>
        </is>
      </c>
      <c r="E247" t="inlineStr">
        <is>
          <t>fondos-bolsa</t>
        </is>
      </c>
      <c r="F247" t="inlineStr">
        <is>
          <t>METAVALOR INTERNACIONAL  FI</t>
        </is>
      </c>
      <c r="G247" t="inlineStr">
        <is>
          <t>EUR</t>
        </is>
      </c>
      <c r="H247" s="2" t="inlineStr">
        <is>
          <t>si</t>
        </is>
      </c>
    </row>
    <row r="248">
      <c r="A248" t="inlineStr">
        <is>
          <t>LU0094557526</t>
        </is>
      </c>
      <c r="B248" t="inlineStr">
        <is>
          <t>LU0094557526.EUFUND</t>
        </is>
      </c>
      <c r="C248" t="inlineStr">
        <is>
          <t>FUND</t>
        </is>
      </c>
      <c r="D248" t="inlineStr">
        <is>
          <t>EQUITY</t>
        </is>
      </c>
      <c r="E248" t="inlineStr">
        <is>
          <t>fondos-bolsa</t>
        </is>
      </c>
      <c r="F248" t="inlineStr">
        <is>
          <t>MFS Meridian Funds - European Research Fund A1 EUR</t>
        </is>
      </c>
      <c r="G248" t="inlineStr">
        <is>
          <t>EUR</t>
        </is>
      </c>
      <c r="H248" s="2" t="inlineStr">
        <is>
          <t>si</t>
        </is>
      </c>
    </row>
    <row r="249">
      <c r="A249" t="inlineStr">
        <is>
          <t>LU0125951151</t>
        </is>
      </c>
      <c r="B249" t="inlineStr">
        <is>
          <t>LU0125951151.EUFUND</t>
        </is>
      </c>
      <c r="C249" t="inlineStr">
        <is>
          <t>FUND</t>
        </is>
      </c>
      <c r="D249" t="inlineStr">
        <is>
          <t>EQUITY</t>
        </is>
      </c>
      <c r="E249" t="inlineStr">
        <is>
          <t>fondos-bolsa</t>
        </is>
      </c>
      <c r="F249" t="inlineStr">
        <is>
          <t>MFS Meridian Funds - European Value Fund A1 EUR</t>
        </is>
      </c>
      <c r="G249" t="inlineStr">
        <is>
          <t>EUR</t>
        </is>
      </c>
      <c r="H249" s="2" t="inlineStr">
        <is>
          <t>si</t>
        </is>
      </c>
    </row>
    <row r="250">
      <c r="A250" t="inlineStr">
        <is>
          <t>LU2295319300</t>
        </is>
      </c>
      <c r="B250" t="inlineStr">
        <is>
          <t>LU2295319300.EUFUND</t>
        </is>
      </c>
      <c r="C250" t="inlineStr">
        <is>
          <t>FUND</t>
        </is>
      </c>
      <c r="D250" t="inlineStr">
        <is>
          <t>EQUITY</t>
        </is>
      </c>
      <c r="E250" t="inlineStr">
        <is>
          <t>fondos-bolsa</t>
        </is>
      </c>
      <c r="F250" t="inlineStr">
        <is>
          <t>Morgan Stanley Investment Funds - Global Brands Fund A (EUR)</t>
        </is>
      </c>
      <c r="G250" t="inlineStr">
        <is>
          <t>EUR</t>
        </is>
      </c>
      <c r="H250" s="2" t="inlineStr">
        <is>
          <t>si</t>
        </is>
      </c>
    </row>
    <row r="251">
      <c r="A251" t="inlineStr">
        <is>
          <t>LU2337806421</t>
        </is>
      </c>
      <c r="B251" t="inlineStr">
        <is>
          <t>LU2337806421.EUFUND</t>
        </is>
      </c>
      <c r="C251" t="inlineStr">
        <is>
          <t>FUND</t>
        </is>
      </c>
      <c r="D251" t="inlineStr">
        <is>
          <t>EQUITY</t>
        </is>
      </c>
      <c r="E251" t="inlineStr">
        <is>
          <t>fondos-bolsa</t>
        </is>
      </c>
      <c r="F251" t="inlineStr">
        <is>
          <t>Morgan Stanley Investment Funds - Global Endurance Fund A EUR Acc</t>
        </is>
      </c>
      <c r="G251" t="inlineStr">
        <is>
          <t>EUR</t>
        </is>
      </c>
      <c r="H251" s="2" t="inlineStr">
        <is>
          <t>si</t>
        </is>
      </c>
    </row>
    <row r="252">
      <c r="A252" t="inlineStr">
        <is>
          <t>LU2295320068</t>
        </is>
      </c>
      <c r="B252" t="inlineStr">
        <is>
          <t>LU2295320068.EUFUND</t>
        </is>
      </c>
      <c r="C252" t="inlineStr">
        <is>
          <t>FUND</t>
        </is>
      </c>
      <c r="D252" t="inlineStr">
        <is>
          <t>EQUITY</t>
        </is>
      </c>
      <c r="E252" t="inlineStr">
        <is>
          <t>fondos-bolsa</t>
        </is>
      </c>
      <c r="F252" t="inlineStr">
        <is>
          <t>Morgan Stanley Investment Funds - Global Insight Fund A (EUR)</t>
        </is>
      </c>
      <c r="G252" t="inlineStr">
        <is>
          <t>EUR</t>
        </is>
      </c>
      <c r="H252" s="2" t="inlineStr">
        <is>
          <t>si</t>
        </is>
      </c>
    </row>
    <row r="253">
      <c r="A253" t="inlineStr">
        <is>
          <t>ES0184894006</t>
        </is>
      </c>
      <c r="B253" t="inlineStr">
        <is>
          <t>ES0184894006.EUFUND</t>
        </is>
      </c>
      <c r="C253" t="inlineStr">
        <is>
          <t>FUND</t>
        </is>
      </c>
      <c r="D253" t="inlineStr">
        <is>
          <t>EQUITY</t>
        </is>
      </c>
      <c r="E253" t="inlineStr">
        <is>
          <t>fondos-bolsa</t>
        </is>
      </c>
      <c r="F253" t="inlineStr">
        <is>
          <t>MYINVESTOR MUNDO DESARROLLADO Y EMERGENTE  FI</t>
        </is>
      </c>
      <c r="G253" t="inlineStr">
        <is>
          <t>EUR</t>
        </is>
      </c>
      <c r="H253" s="2" t="inlineStr">
        <is>
          <t>si</t>
        </is>
      </c>
    </row>
    <row r="254">
      <c r="A254" t="inlineStr">
        <is>
          <t>ES0165242001</t>
        </is>
      </c>
      <c r="B254" t="inlineStr">
        <is>
          <t>ES0165242001.EUFUND</t>
        </is>
      </c>
      <c r="C254" t="inlineStr">
        <is>
          <t>FUND</t>
        </is>
      </c>
      <c r="D254" t="inlineStr">
        <is>
          <t>EQUITY</t>
        </is>
      </c>
      <c r="E254" t="inlineStr">
        <is>
          <t>fondos-bolsa</t>
        </is>
      </c>
      <c r="F254" t="inlineStr">
        <is>
          <t>MYINVESTOR S&amp;P500 EQUIPONDERADO  FI</t>
        </is>
      </c>
      <c r="G254" t="inlineStr">
        <is>
          <t>EUR</t>
        </is>
      </c>
      <c r="H254" s="2" t="inlineStr">
        <is>
          <t>si</t>
        </is>
      </c>
    </row>
    <row r="255">
      <c r="A255" t="inlineStr">
        <is>
          <t>ES0165243025</t>
        </is>
      </c>
      <c r="B255" t="inlineStr">
        <is>
          <t>ES0165243025.EUFUND</t>
        </is>
      </c>
      <c r="C255" t="inlineStr">
        <is>
          <t>FUND</t>
        </is>
      </c>
      <c r="D255" t="inlineStr">
        <is>
          <t>EQUITY</t>
        </is>
      </c>
      <c r="E255" t="inlineStr">
        <is>
          <t>fondos-bolsa</t>
        </is>
      </c>
      <c r="F255" t="inlineStr">
        <is>
          <t>MYINVESTOR VALUE  FI</t>
        </is>
      </c>
      <c r="G255" t="inlineStr">
        <is>
          <t>EUR</t>
        </is>
      </c>
      <c r="H255" s="2" t="inlineStr">
        <is>
          <t>si</t>
        </is>
      </c>
    </row>
    <row r="256">
      <c r="A256" t="inlineStr">
        <is>
          <t>LU0935230242</t>
        </is>
      </c>
      <c r="B256" t="inlineStr">
        <is>
          <t>LU0935230242.EUFUND</t>
        </is>
      </c>
      <c r="C256" t="inlineStr">
        <is>
          <t>FUND</t>
        </is>
      </c>
      <c r="D256" t="inlineStr">
        <is>
          <t>EQUITY</t>
        </is>
      </c>
      <c r="E256" t="inlineStr">
        <is>
          <t>fondos-bolsa</t>
        </is>
      </c>
      <c r="F256" t="inlineStr">
        <is>
          <t>Natixis AM Funds - Ostrum Europe MinVol RE/A (EUR)</t>
        </is>
      </c>
      <c r="G256" t="inlineStr">
        <is>
          <t>EUR</t>
        </is>
      </c>
      <c r="H256" s="2" t="inlineStr">
        <is>
          <t>si</t>
        </is>
      </c>
    </row>
    <row r="257">
      <c r="A257" t="inlineStr">
        <is>
          <t>LU1951204046</t>
        </is>
      </c>
      <c r="B257" t="inlineStr">
        <is>
          <t>LU1951204046.EUFUND</t>
        </is>
      </c>
      <c r="C257" t="inlineStr">
        <is>
          <t>FUND</t>
        </is>
      </c>
      <c r="D257" t="inlineStr">
        <is>
          <t>EQUITY</t>
        </is>
      </c>
      <c r="E257" t="inlineStr">
        <is>
          <t>fondos-bolsa</t>
        </is>
      </c>
      <c r="F257" t="inlineStr">
        <is>
          <t>Natixis International Funds (Lux) I - Mirova Thematic Meta R/A (EUR)</t>
        </is>
      </c>
      <c r="G257" t="inlineStr">
        <is>
          <t>EUR</t>
        </is>
      </c>
      <c r="H257" s="2" t="inlineStr">
        <is>
          <t>si</t>
        </is>
      </c>
    </row>
    <row r="258">
      <c r="A258" t="inlineStr">
        <is>
          <t>LU2743151057</t>
        </is>
      </c>
      <c r="B258" t="inlineStr">
        <is>
          <t>LU2743151057.EUFUND</t>
        </is>
      </c>
      <c r="C258" t="inlineStr">
        <is>
          <t>FUND</t>
        </is>
      </c>
      <c r="D258" t="inlineStr">
        <is>
          <t>EQUITY</t>
        </is>
      </c>
      <c r="E258" t="inlineStr">
        <is>
          <t>fondos-bolsa</t>
        </is>
      </c>
      <c r="F258" t="inlineStr">
        <is>
          <t>Natixis International Funds (Lux) I - Ossiam Shiller Barclays CAPE® US Fund R/A (EUR)</t>
        </is>
      </c>
      <c r="G258" t="inlineStr">
        <is>
          <t>EUR</t>
        </is>
      </c>
      <c r="H258" s="2" t="inlineStr">
        <is>
          <t>si</t>
        </is>
      </c>
    </row>
    <row r="259">
      <c r="A259" t="inlineStr">
        <is>
          <t>LU2338974699</t>
        </is>
      </c>
      <c r="B259" t="inlineStr">
        <is>
          <t>LU2338974699.EUFUND</t>
        </is>
      </c>
      <c r="C259" t="inlineStr">
        <is>
          <t>FUND</t>
        </is>
      </c>
      <c r="D259" t="inlineStr">
        <is>
          <t>EQUITY</t>
        </is>
      </c>
      <c r="E259" t="inlineStr">
        <is>
          <t>fondos-bolsa</t>
        </is>
      </c>
      <c r="F259" t="inlineStr">
        <is>
          <t>Natixis International Funds (Lux) I - WCM Select Global Growth Equity Fund F/A (EUR)</t>
        </is>
      </c>
      <c r="G259" t="inlineStr">
        <is>
          <t>EUR</t>
        </is>
      </c>
      <c r="H259" s="2" t="inlineStr">
        <is>
          <t>si</t>
        </is>
      </c>
    </row>
    <row r="260">
      <c r="A260" t="inlineStr">
        <is>
          <t>IE00BMD7ZB71</t>
        </is>
      </c>
      <c r="B260" t="inlineStr">
        <is>
          <t>IE00BMD7ZB71.EUFUND</t>
        </is>
      </c>
      <c r="C260" t="inlineStr">
        <is>
          <t>FUND</t>
        </is>
      </c>
      <c r="D260" t="inlineStr">
        <is>
          <t>EQUITY</t>
        </is>
      </c>
      <c r="E260" t="inlineStr">
        <is>
          <t>fondos-bolsa</t>
        </is>
      </c>
      <c r="F260" t="inlineStr">
        <is>
          <t>Neuberger Berman Next Generation Connectivity Fund EUR A Accumulating Class - Unhedged</t>
        </is>
      </c>
      <c r="G260" t="inlineStr">
        <is>
          <t>EUR</t>
        </is>
      </c>
      <c r="H260" s="2" t="inlineStr">
        <is>
          <t>si</t>
        </is>
      </c>
    </row>
    <row r="261">
      <c r="A261" t="inlineStr">
        <is>
          <t>LU1578889864</t>
        </is>
      </c>
      <c r="B261" t="inlineStr">
        <is>
          <t>LU1578889864.EUFUND</t>
        </is>
      </c>
      <c r="C261" t="inlineStr">
        <is>
          <t>FUND</t>
        </is>
      </c>
      <c r="D261" t="inlineStr">
        <is>
          <t>EQUITY</t>
        </is>
      </c>
      <c r="E261" t="inlineStr">
        <is>
          <t>fondos-bolsa</t>
        </is>
      </c>
      <c r="F261" t="inlineStr">
        <is>
          <t>Ninety One Global Strategy Fund - Global Gold Fund A Acc EUR Hedged(Reference)</t>
        </is>
      </c>
      <c r="G261" t="inlineStr">
        <is>
          <t>EUR</t>
        </is>
      </c>
      <c r="H261" s="2" t="inlineStr">
        <is>
          <t>si</t>
        </is>
      </c>
    </row>
    <row r="262">
      <c r="A262" t="inlineStr">
        <is>
          <t>LU0173782102</t>
        </is>
      </c>
      <c r="B262" t="inlineStr">
        <is>
          <t>LU0173782102.EUFUND</t>
        </is>
      </c>
      <c r="C262" t="inlineStr">
        <is>
          <t>FUND</t>
        </is>
      </c>
      <c r="D262" t="inlineStr">
        <is>
          <t>EQUITY</t>
        </is>
      </c>
      <c r="E262" t="inlineStr">
        <is>
          <t>fondos-bolsa</t>
        </is>
      </c>
      <c r="F262" t="inlineStr">
        <is>
          <t>Nordea 1 - Asia ex Japan Equity Fund BP EUR</t>
        </is>
      </c>
      <c r="G262" t="inlineStr">
        <is>
          <t>EUR</t>
        </is>
      </c>
      <c r="H262" s="2" t="inlineStr">
        <is>
          <t>si</t>
        </is>
      </c>
    </row>
    <row r="263">
      <c r="A263" t="inlineStr">
        <is>
          <t>LU0602539867</t>
        </is>
      </c>
      <c r="B263" t="inlineStr">
        <is>
          <t>LU0602539867.EUFUND</t>
        </is>
      </c>
      <c r="C263" t="inlineStr">
        <is>
          <t>FUND</t>
        </is>
      </c>
      <c r="D263" t="inlineStr">
        <is>
          <t>EQUITY</t>
        </is>
      </c>
      <c r="E263" t="inlineStr">
        <is>
          <t>fondos-bolsa</t>
        </is>
      </c>
      <c r="F263" t="inlineStr">
        <is>
          <t>Nordea 1 - Emerging Sustainable Stars Equity Fund BP EUR</t>
        </is>
      </c>
      <c r="G263" t="inlineStr">
        <is>
          <t>EUR</t>
        </is>
      </c>
      <c r="H263" s="2" t="inlineStr">
        <is>
          <t>si</t>
        </is>
      </c>
    </row>
    <row r="264">
      <c r="A264" t="inlineStr">
        <is>
          <t>LU0348926287</t>
        </is>
      </c>
      <c r="B264" t="inlineStr">
        <is>
          <t>LU0348926287.EUFUND</t>
        </is>
      </c>
      <c r="C264" t="inlineStr">
        <is>
          <t>FUND</t>
        </is>
      </c>
      <c r="D264" t="inlineStr">
        <is>
          <t>EQUITY</t>
        </is>
      </c>
      <c r="E264" t="inlineStr">
        <is>
          <t>fondos-bolsa</t>
        </is>
      </c>
      <c r="F264" t="inlineStr">
        <is>
          <t>Nordea 1 - Global Climate and Environment Fund BP EUR</t>
        </is>
      </c>
      <c r="G264" t="inlineStr">
        <is>
          <t>EUR</t>
        </is>
      </c>
      <c r="H264" s="2" t="inlineStr">
        <is>
          <t>si</t>
        </is>
      </c>
    </row>
    <row r="265">
      <c r="A265" t="inlineStr">
        <is>
          <t>LU0348927251</t>
        </is>
      </c>
      <c r="B265" t="inlineStr">
        <is>
          <t>LU0348927251.EUFUND</t>
        </is>
      </c>
      <c r="C265" t="inlineStr">
        <is>
          <t>FUND</t>
        </is>
      </c>
      <c r="D265" t="inlineStr">
        <is>
          <t>EQUITY</t>
        </is>
      </c>
      <c r="E265" t="inlineStr">
        <is>
          <t>fondos-bolsa</t>
        </is>
      </c>
      <c r="F265" t="inlineStr">
        <is>
          <t>Nordea 1 - Global Climate and Environment Fund E EUR</t>
        </is>
      </c>
      <c r="G265" t="inlineStr">
        <is>
          <t>EUR</t>
        </is>
      </c>
      <c r="H265" s="2" t="inlineStr">
        <is>
          <t>si</t>
        </is>
      </c>
    </row>
    <row r="266">
      <c r="A266" t="inlineStr">
        <is>
          <t>LU1939214695</t>
        </is>
      </c>
      <c r="B266" t="inlineStr">
        <is>
          <t>LU1939214695.EUFUND</t>
        </is>
      </c>
      <c r="C266" t="inlineStr">
        <is>
          <t>FUND</t>
        </is>
      </c>
      <c r="D266" t="inlineStr">
        <is>
          <t>EQUITY</t>
        </is>
      </c>
      <c r="E266" t="inlineStr">
        <is>
          <t>fondos-bolsa</t>
        </is>
      </c>
      <c r="F266" t="inlineStr">
        <is>
          <t>Nordea 1 - Global Diversity Engagement Fund BP EUR</t>
        </is>
      </c>
      <c r="G266" t="inlineStr">
        <is>
          <t>EUR</t>
        </is>
      </c>
      <c r="H266" s="2" t="inlineStr">
        <is>
          <t>si</t>
        </is>
      </c>
    </row>
    <row r="267">
      <c r="A267" t="inlineStr">
        <is>
          <t>LU0112467450</t>
        </is>
      </c>
      <c r="B267" t="inlineStr">
        <is>
          <t>LU0112467450.EUFUND</t>
        </is>
      </c>
      <c r="C267" t="inlineStr">
        <is>
          <t>FUND</t>
        </is>
      </c>
      <c r="D267" t="inlineStr">
        <is>
          <t>EQUITY</t>
        </is>
      </c>
      <c r="E267" t="inlineStr">
        <is>
          <t>fondos-bolsa</t>
        </is>
      </c>
      <c r="F267" t="inlineStr">
        <is>
          <t>Nordea 1 - Global Stable Equity Fund BP EUR</t>
        </is>
      </c>
      <c r="G267" t="inlineStr">
        <is>
          <t>EUR</t>
        </is>
      </c>
      <c r="H267" s="2" t="inlineStr">
        <is>
          <t>si</t>
        </is>
      </c>
    </row>
    <row r="268">
      <c r="A268" t="inlineStr">
        <is>
          <t>LU0637335638</t>
        </is>
      </c>
      <c r="B268" t="inlineStr">
        <is>
          <t>LU0637335638.EUFUND</t>
        </is>
      </c>
      <c r="C268" t="inlineStr">
        <is>
          <t>FUND</t>
        </is>
      </c>
      <c r="D268" t="inlineStr">
        <is>
          <t>EQUITY</t>
        </is>
      </c>
      <c r="E268" t="inlineStr">
        <is>
          <t>fondos-bolsa</t>
        </is>
      </c>
      <c r="F268" t="inlineStr">
        <is>
          <t>Nordea 1 - Indian Equity Fund BP EUR</t>
        </is>
      </c>
      <c r="G268" t="inlineStr">
        <is>
          <t>EUR</t>
        </is>
      </c>
      <c r="H268" s="2" t="inlineStr">
        <is>
          <t>si</t>
        </is>
      </c>
    </row>
    <row r="269">
      <c r="A269" t="inlineStr">
        <is>
          <t>LU0309468980</t>
        </is>
      </c>
      <c r="B269" t="inlineStr">
        <is>
          <t>LU0309468980.EUFUND</t>
        </is>
      </c>
      <c r="C269" t="inlineStr">
        <is>
          <t>FUND</t>
        </is>
      </c>
      <c r="D269" t="inlineStr">
        <is>
          <t>EQUITY</t>
        </is>
      </c>
      <c r="E269" t="inlineStr">
        <is>
          <t>fondos-bolsa</t>
        </is>
      </c>
      <c r="F269" t="inlineStr">
        <is>
          <t>Nordea 1 - Latin American Equity Fund E EUR</t>
        </is>
      </c>
      <c r="G269" t="inlineStr">
        <is>
          <t>EUR</t>
        </is>
      </c>
      <c r="H269" s="2" t="inlineStr">
        <is>
          <t>si</t>
        </is>
      </c>
    </row>
    <row r="270">
      <c r="A270" t="inlineStr">
        <is>
          <t>FR0000989899</t>
        </is>
      </c>
      <c r="B270" t="inlineStr">
        <is>
          <t>FR0000989899.EUFUND</t>
        </is>
      </c>
      <c r="C270" t="inlineStr">
        <is>
          <t>FUND</t>
        </is>
      </c>
      <c r="D270" t="inlineStr">
        <is>
          <t>EQUITY</t>
        </is>
      </c>
      <c r="E270" t="inlineStr">
        <is>
          <t>fondos-bolsa</t>
        </is>
      </c>
      <c r="F270" t="inlineStr">
        <is>
          <t>Oddo BHF Avenir CR-EUR</t>
        </is>
      </c>
      <c r="G270" t="inlineStr">
        <is>
          <t>EUR</t>
        </is>
      </c>
      <c r="H270" s="2" t="inlineStr">
        <is>
          <t>si</t>
        </is>
      </c>
    </row>
    <row r="271">
      <c r="A271" t="inlineStr">
        <is>
          <t>FR0000989915</t>
        </is>
      </c>
      <c r="B271" t="inlineStr">
        <is>
          <t>FR0000989915.EUFUND</t>
        </is>
      </c>
      <c r="C271" t="inlineStr">
        <is>
          <t>FUND</t>
        </is>
      </c>
      <c r="D271" t="inlineStr">
        <is>
          <t>EQUITY</t>
        </is>
      </c>
      <c r="E271" t="inlineStr">
        <is>
          <t>fondos-bolsa</t>
        </is>
      </c>
      <c r="F271" t="inlineStr">
        <is>
          <t>Oddo BHF Immobilier CR-EUR</t>
        </is>
      </c>
      <c r="G271" t="inlineStr">
        <is>
          <t>EUR</t>
        </is>
      </c>
      <c r="H271" s="2" t="inlineStr">
        <is>
          <t>si</t>
        </is>
      </c>
    </row>
    <row r="272">
      <c r="A272" t="inlineStr">
        <is>
          <t>ES0114633003</t>
        </is>
      </c>
      <c r="B272" t="inlineStr">
        <is>
          <t>ES0114633003.EUFUND</t>
        </is>
      </c>
      <c r="C272" t="inlineStr">
        <is>
          <t>FUND</t>
        </is>
      </c>
      <c r="D272" t="inlineStr">
        <is>
          <t>EQUITY</t>
        </is>
      </c>
      <c r="E272" t="inlineStr">
        <is>
          <t>fondos-bolsa</t>
        </is>
      </c>
      <c r="F272" t="inlineStr">
        <is>
          <t>PANDA AGRICULTURE &amp; WATER FUND  FI</t>
        </is>
      </c>
      <c r="G272" t="inlineStr">
        <is>
          <t>EUR</t>
        </is>
      </c>
      <c r="H272" s="2" t="inlineStr">
        <is>
          <t>si</t>
        </is>
      </c>
    </row>
    <row r="273">
      <c r="A273" t="inlineStr">
        <is>
          <t>LU0280435388</t>
        </is>
      </c>
      <c r="B273" t="inlineStr">
        <is>
          <t>LU0280435388.EUFUND</t>
        </is>
      </c>
      <c r="C273" t="inlineStr">
        <is>
          <t>FUND</t>
        </is>
      </c>
      <c r="D273" t="inlineStr">
        <is>
          <t>EQUITY</t>
        </is>
      </c>
      <c r="E273" t="inlineStr">
        <is>
          <t>fondos-bolsa</t>
        </is>
      </c>
      <c r="F273" t="inlineStr">
        <is>
          <t>Pictet - Clean Energy Transition P EUR</t>
        </is>
      </c>
      <c r="G273" t="inlineStr">
        <is>
          <t>EUR</t>
        </is>
      </c>
      <c r="H273" s="2" t="inlineStr">
        <is>
          <t>si</t>
        </is>
      </c>
    </row>
    <row r="274">
      <c r="A274" t="inlineStr">
        <is>
          <t>LU0503631714</t>
        </is>
      </c>
      <c r="B274" t="inlineStr">
        <is>
          <t>LU0503631714.EUFUND</t>
        </is>
      </c>
      <c r="C274" t="inlineStr">
        <is>
          <t>FUND</t>
        </is>
      </c>
      <c r="D274" t="inlineStr">
        <is>
          <t>EQUITY</t>
        </is>
      </c>
      <c r="E274" t="inlineStr">
        <is>
          <t>fondos-bolsa</t>
        </is>
      </c>
      <c r="F274" t="inlineStr">
        <is>
          <t>Pictet - Global Environmental Opportunities P EUR</t>
        </is>
      </c>
      <c r="G274" t="inlineStr">
        <is>
          <t>EUR</t>
        </is>
      </c>
      <c r="H274" s="2" t="inlineStr">
        <is>
          <t>si</t>
        </is>
      </c>
    </row>
    <row r="275">
      <c r="A275" t="inlineStr">
        <is>
          <t>LU1279334483</t>
        </is>
      </c>
      <c r="B275" t="inlineStr">
        <is>
          <t>LU1279334483.EUFUND</t>
        </is>
      </c>
      <c r="C275" t="inlineStr">
        <is>
          <t>FUND</t>
        </is>
      </c>
      <c r="D275" t="inlineStr">
        <is>
          <t>EQUITY</t>
        </is>
      </c>
      <c r="E275" t="inlineStr">
        <is>
          <t>fondos-bolsa</t>
        </is>
      </c>
      <c r="F275" t="inlineStr">
        <is>
          <t>Pictet - Robotics R EUR</t>
        </is>
      </c>
      <c r="G275" t="inlineStr">
        <is>
          <t>EUR</t>
        </is>
      </c>
      <c r="H275" s="2" t="inlineStr">
        <is>
          <t>si</t>
        </is>
      </c>
    </row>
    <row r="276">
      <c r="A276" t="inlineStr">
        <is>
          <t>LU0280435461</t>
        </is>
      </c>
      <c r="B276" t="inlineStr">
        <is>
          <t>LU0280435461.EUFUND</t>
        </is>
      </c>
      <c r="C276" t="inlineStr">
        <is>
          <t>FUND</t>
        </is>
      </c>
      <c r="D276" t="inlineStr">
        <is>
          <t>EQUITY</t>
        </is>
      </c>
      <c r="E276" t="inlineStr">
        <is>
          <t>fondos-bolsa</t>
        </is>
      </c>
      <c r="F276" t="inlineStr">
        <is>
          <t>Pictet-Clean Energy Transition R EUR</t>
        </is>
      </c>
      <c r="G276" t="inlineStr">
        <is>
          <t>EUR</t>
        </is>
      </c>
      <c r="H276" s="2" t="inlineStr">
        <is>
          <t>si</t>
        </is>
      </c>
    </row>
    <row r="277">
      <c r="A277" t="inlineStr">
        <is>
          <t>LU0391944815</t>
        </is>
      </c>
      <c r="B277" t="inlineStr">
        <is>
          <t>LU0391944815.EUFUND</t>
        </is>
      </c>
      <c r="C277" t="inlineStr">
        <is>
          <t>FUND</t>
        </is>
      </c>
      <c r="D277" t="inlineStr">
        <is>
          <t>EQUITY</t>
        </is>
      </c>
      <c r="E277" t="inlineStr">
        <is>
          <t>fondos-bolsa</t>
        </is>
      </c>
      <c r="F277" t="inlineStr">
        <is>
          <t>Pictet-Global Megatrend Selection R EUR</t>
        </is>
      </c>
      <c r="G277" t="inlineStr">
        <is>
          <t>EUR</t>
        </is>
      </c>
      <c r="H277" s="2" t="inlineStr">
        <is>
          <t>si</t>
        </is>
      </c>
    </row>
    <row r="278">
      <c r="A278" t="inlineStr">
        <is>
          <t>LU0217139020</t>
        </is>
      </c>
      <c r="B278" t="inlineStr">
        <is>
          <t>LU0217139020.EUFUND</t>
        </is>
      </c>
      <c r="C278" t="inlineStr">
        <is>
          <t>FUND</t>
        </is>
      </c>
      <c r="D278" t="inlineStr">
        <is>
          <t>EQUITY</t>
        </is>
      </c>
      <c r="E278" t="inlineStr">
        <is>
          <t>fondos-bolsa</t>
        </is>
      </c>
      <c r="F278" t="inlineStr">
        <is>
          <t>Pictet-Premium Brands P EUR</t>
        </is>
      </c>
      <c r="G278" t="inlineStr">
        <is>
          <t>EUR</t>
        </is>
      </c>
      <c r="H278" s="2" t="inlineStr">
        <is>
          <t>si</t>
        </is>
      </c>
    </row>
    <row r="279">
      <c r="A279" t="inlineStr">
        <is>
          <t>LU0270905242</t>
        </is>
      </c>
      <c r="B279" t="inlineStr">
        <is>
          <t>LU0270905242.EUFUND</t>
        </is>
      </c>
      <c r="C279" t="inlineStr">
        <is>
          <t>FUND</t>
        </is>
      </c>
      <c r="D279" t="inlineStr">
        <is>
          <t>EQUITY</t>
        </is>
      </c>
      <c r="E279" t="inlineStr">
        <is>
          <t>fondos-bolsa</t>
        </is>
      </c>
      <c r="F279" t="inlineStr">
        <is>
          <t>Pictet-Security R EUR</t>
        </is>
      </c>
      <c r="G279" t="inlineStr">
        <is>
          <t>EUR</t>
        </is>
      </c>
      <c r="H279" s="2" t="inlineStr">
        <is>
          <t>si</t>
        </is>
      </c>
    </row>
    <row r="280">
      <c r="A280" t="inlineStr">
        <is>
          <t>LU0340559557</t>
        </is>
      </c>
      <c r="B280" t="inlineStr">
        <is>
          <t>LU0340559557.EUFUND</t>
        </is>
      </c>
      <c r="C280" t="inlineStr">
        <is>
          <t>FUND</t>
        </is>
      </c>
      <c r="D280" t="inlineStr">
        <is>
          <t>EQUITY</t>
        </is>
      </c>
      <c r="E280" t="inlineStr">
        <is>
          <t>fondos-bolsa</t>
        </is>
      </c>
      <c r="F280" t="inlineStr">
        <is>
          <t>Pictet-Timber P EUR</t>
        </is>
      </c>
      <c r="G280" t="inlineStr">
        <is>
          <t>EUR</t>
        </is>
      </c>
      <c r="H280" s="2" t="inlineStr">
        <is>
          <t>si</t>
        </is>
      </c>
    </row>
    <row r="281">
      <c r="A281" t="inlineStr">
        <is>
          <t>IE00BF0GL212</t>
        </is>
      </c>
      <c r="B281" t="inlineStr">
        <is>
          <t>IE00BF0GL212.EUFUND</t>
        </is>
      </c>
      <c r="C281" t="inlineStr">
        <is>
          <t>FUND</t>
        </is>
      </c>
      <c r="D281" t="inlineStr">
        <is>
          <t>EQUITY</t>
        </is>
      </c>
      <c r="E281" t="inlineStr">
        <is>
          <t>fondos-bolsa</t>
        </is>
      </c>
      <c r="F281" t="inlineStr">
        <is>
          <t>Polar Capital Funds PLC - Artificial Intelligence Fund RAcc</t>
        </is>
      </c>
      <c r="G281" t="inlineStr">
        <is>
          <t>EUR</t>
        </is>
      </c>
      <c r="H281" s="2" t="inlineStr">
        <is>
          <t>si</t>
        </is>
      </c>
    </row>
    <row r="282">
      <c r="A282" t="inlineStr">
        <is>
          <t>IE00B3VXGD32</t>
        </is>
      </c>
      <c r="B282" t="inlineStr">
        <is>
          <t>IE00B3VXGD32.EUFUND</t>
        </is>
      </c>
      <c r="C282" t="inlineStr">
        <is>
          <t>FUND</t>
        </is>
      </c>
      <c r="D282" t="inlineStr">
        <is>
          <t>EQUITY</t>
        </is>
      </c>
      <c r="E282" t="inlineStr">
        <is>
          <t>fondos-bolsa</t>
        </is>
      </c>
      <c r="F282" t="inlineStr">
        <is>
          <t>Polar Capital Funds PLC - Biotechnology Fund R Inc</t>
        </is>
      </c>
      <c r="G282" t="inlineStr">
        <is>
          <t>EUR</t>
        </is>
      </c>
      <c r="H282" s="2" t="inlineStr">
        <is>
          <t>si</t>
        </is>
      </c>
    </row>
    <row r="283">
      <c r="A283" t="inlineStr">
        <is>
          <t>IE00B52VLZ70</t>
        </is>
      </c>
      <c r="B283" t="inlineStr">
        <is>
          <t>IE00B52VLZ70.EUFUND</t>
        </is>
      </c>
      <c r="C283" t="inlineStr">
        <is>
          <t>FUND</t>
        </is>
      </c>
      <c r="D283" t="inlineStr">
        <is>
          <t>EQUITY</t>
        </is>
      </c>
      <c r="E283" t="inlineStr">
        <is>
          <t>fondos-bolsa</t>
        </is>
      </c>
      <c r="F283" t="inlineStr">
        <is>
          <t>Polar Capital Funds PLC - Polar Capital Global Insurance Fund R Acc</t>
        </is>
      </c>
      <c r="G283" t="inlineStr">
        <is>
          <t>EUR</t>
        </is>
      </c>
      <c r="H283" s="2" t="inlineStr">
        <is>
          <t>si</t>
        </is>
      </c>
    </row>
    <row r="284">
      <c r="A284" t="inlineStr">
        <is>
          <t>IE00BM95B621</t>
        </is>
      </c>
      <c r="B284" t="inlineStr">
        <is>
          <t>IE00BM95B621.EUFUND</t>
        </is>
      </c>
      <c r="C284" t="inlineStr">
        <is>
          <t>FUND</t>
        </is>
      </c>
      <c r="D284" t="inlineStr">
        <is>
          <t>EQUITY</t>
        </is>
      </c>
      <c r="E284" t="inlineStr">
        <is>
          <t>fondos-bolsa</t>
        </is>
      </c>
      <c r="F284" t="inlineStr">
        <is>
          <t>Polar Capital Funds PLC - Polar Capital Global Technology Fund R Acc</t>
        </is>
      </c>
      <c r="G284" t="inlineStr">
        <is>
          <t>EUR</t>
        </is>
      </c>
      <c r="H284" s="2" t="inlineStr">
        <is>
          <t>si</t>
        </is>
      </c>
    </row>
    <row r="285">
      <c r="A285" t="inlineStr">
        <is>
          <t>IE00BZ4D7648</t>
        </is>
      </c>
      <c r="B285" t="inlineStr">
        <is>
          <t>IE00BZ4D7648.EUFUND</t>
        </is>
      </c>
      <c r="C285" t="inlineStr">
        <is>
          <t>FUND</t>
        </is>
      </c>
      <c r="D285" t="inlineStr">
        <is>
          <t>EQUITY</t>
        </is>
      </c>
      <c r="E285" t="inlineStr">
        <is>
          <t>fondos-bolsa</t>
        </is>
      </c>
      <c r="F285" t="inlineStr">
        <is>
          <t>Polar Capital Funds PLC - Polar Capital Global Technology Fund R EUR Hedged Accumulation</t>
        </is>
      </c>
      <c r="G285" t="inlineStr">
        <is>
          <t>EUR</t>
        </is>
      </c>
      <c r="H285" s="2" t="inlineStr">
        <is>
          <t>si</t>
        </is>
      </c>
    </row>
    <row r="286">
      <c r="A286" t="inlineStr">
        <is>
          <t>IE00B28YJQ65</t>
        </is>
      </c>
      <c r="B286" t="inlineStr">
        <is>
          <t>IE00B28YJQ65.EUFUND</t>
        </is>
      </c>
      <c r="C286" t="inlineStr">
        <is>
          <t>FUND</t>
        </is>
      </c>
      <c r="D286" t="inlineStr">
        <is>
          <t>EQUITY</t>
        </is>
      </c>
      <c r="E286" t="inlineStr">
        <is>
          <t>fondos-bolsa</t>
        </is>
      </c>
      <c r="F286" t="inlineStr">
        <is>
          <t>Polar Capital Funds PLC - Polar Capital Healthcare Opportunities Fund Inc</t>
        </is>
      </c>
      <c r="G286" t="inlineStr">
        <is>
          <t>EUR</t>
        </is>
      </c>
      <c r="H286" s="2" t="inlineStr">
        <is>
          <t>si</t>
        </is>
      </c>
    </row>
    <row r="287">
      <c r="A287" t="inlineStr">
        <is>
          <t>IE00B3NLSS43</t>
        </is>
      </c>
      <c r="B287" t="inlineStr">
        <is>
          <t>IE00B3NLSS43.EUFUND</t>
        </is>
      </c>
      <c r="C287" t="inlineStr">
        <is>
          <t>FUND</t>
        </is>
      </c>
      <c r="D287" t="inlineStr">
        <is>
          <t>EQUITY</t>
        </is>
      </c>
      <c r="E287" t="inlineStr">
        <is>
          <t>fondos-bolsa</t>
        </is>
      </c>
      <c r="F287" t="inlineStr">
        <is>
          <t>Polar Capital Funds PLC - Polar Capital Healthcare Opportunities Fund R Inc</t>
        </is>
      </c>
      <c r="G287" t="inlineStr">
        <is>
          <t>EUR</t>
        </is>
      </c>
      <c r="H287" s="2" t="inlineStr">
        <is>
          <t>si</t>
        </is>
      </c>
    </row>
    <row r="288">
      <c r="A288" t="inlineStr">
        <is>
          <t>IE00BKSBDB61</t>
        </is>
      </c>
      <c r="B288" t="inlineStr">
        <is>
          <t>IE00BKSBDB61.EUFUND</t>
        </is>
      </c>
      <c r="C288" t="inlineStr">
        <is>
          <t>FUND</t>
        </is>
      </c>
      <c r="D288" t="inlineStr">
        <is>
          <t>EQUITY</t>
        </is>
      </c>
      <c r="E288" t="inlineStr">
        <is>
          <t>fondos-bolsa</t>
        </is>
      </c>
      <c r="F288" t="inlineStr">
        <is>
          <t>Polar Capital Funds PLC - Polar Capital Healthcare Opportunities R Acc</t>
        </is>
      </c>
      <c r="G288" t="inlineStr">
        <is>
          <t>EUR</t>
        </is>
      </c>
      <c r="H288" s="2" t="inlineStr">
        <is>
          <t>si</t>
        </is>
      </c>
    </row>
    <row r="289">
      <c r="A289" t="inlineStr">
        <is>
          <t>LU0704154706</t>
        </is>
      </c>
      <c r="B289" t="inlineStr">
        <is>
          <t>LU0704154706.EUFUND</t>
        </is>
      </c>
      <c r="C289" t="inlineStr">
        <is>
          <t>FUND</t>
        </is>
      </c>
      <c r="D289" t="inlineStr">
        <is>
          <t>EQUITY</t>
        </is>
      </c>
      <c r="E289" t="inlineStr">
        <is>
          <t>fondos-bolsa</t>
        </is>
      </c>
      <c r="F289" t="inlineStr">
        <is>
          <t>RAM (Lux) Systematic Funds - Emerging Markets Equities O EUR</t>
        </is>
      </c>
      <c r="G289" t="inlineStr">
        <is>
          <t>EUR</t>
        </is>
      </c>
      <c r="H289" s="2" t="inlineStr">
        <is>
          <t>si</t>
        </is>
      </c>
    </row>
    <row r="290">
      <c r="A290" t="inlineStr">
        <is>
          <t>LU0835722488</t>
        </is>
      </c>
      <c r="B290" t="inlineStr">
        <is>
          <t>LU0835722488.EUFUND</t>
        </is>
      </c>
      <c r="C290" t="inlineStr">
        <is>
          <t>FUND</t>
        </is>
      </c>
      <c r="D290" t="inlineStr">
        <is>
          <t>EQUITY</t>
        </is>
      </c>
      <c r="E290" t="inlineStr">
        <is>
          <t>fondos-bolsa</t>
        </is>
      </c>
      <c r="F290" t="inlineStr">
        <is>
          <t>RAM (Lux) Systematic Funds - Emerging Markets Equities OP EUR</t>
        </is>
      </c>
      <c r="G290" t="inlineStr">
        <is>
          <t>EUR</t>
        </is>
      </c>
      <c r="H290" s="2" t="inlineStr">
        <is>
          <t>si</t>
        </is>
      </c>
    </row>
    <row r="291">
      <c r="A291" t="inlineStr">
        <is>
          <t>LU0084617165</t>
        </is>
      </c>
      <c r="B291" t="inlineStr">
        <is>
          <t>LU0084617165.EUFUND</t>
        </is>
      </c>
      <c r="C291" t="inlineStr">
        <is>
          <t>FUND</t>
        </is>
      </c>
      <c r="D291" t="inlineStr">
        <is>
          <t>EQUITY</t>
        </is>
      </c>
      <c r="E291" t="inlineStr">
        <is>
          <t>fondos-bolsa</t>
        </is>
      </c>
      <c r="F291" t="inlineStr">
        <is>
          <t>Robeco Asia-Pacific Equities D €</t>
        </is>
      </c>
      <c r="G291" t="inlineStr">
        <is>
          <t>EUR</t>
        </is>
      </c>
      <c r="H291" s="2" t="inlineStr">
        <is>
          <t>si</t>
        </is>
      </c>
    </row>
    <row r="292">
      <c r="A292" t="inlineStr">
        <is>
          <t>LU0203975437</t>
        </is>
      </c>
      <c r="B292" t="inlineStr">
        <is>
          <t>LU0203975437.EUFUND</t>
        </is>
      </c>
      <c r="C292" t="inlineStr">
        <is>
          <t>FUND</t>
        </is>
      </c>
      <c r="D292" t="inlineStr">
        <is>
          <t>EQUITY</t>
        </is>
      </c>
      <c r="E292" t="inlineStr">
        <is>
          <t>fondos-bolsa</t>
        </is>
      </c>
      <c r="F292" t="inlineStr">
        <is>
          <t>Robeco BP Global Premium Equities D EUR</t>
        </is>
      </c>
      <c r="G292" t="inlineStr">
        <is>
          <t>EUR</t>
        </is>
      </c>
      <c r="H292" s="2" t="inlineStr">
        <is>
          <t>si</t>
        </is>
      </c>
    </row>
    <row r="293">
      <c r="A293" t="inlineStr">
        <is>
          <t>LU0320896664</t>
        </is>
      </c>
      <c r="B293" t="inlineStr">
        <is>
          <t>LU0320896664.EUFUND</t>
        </is>
      </c>
      <c r="C293" t="inlineStr">
        <is>
          <t>FUND</t>
        </is>
      </c>
      <c r="D293" t="inlineStr">
        <is>
          <t>EQUITY</t>
        </is>
      </c>
      <c r="E293" t="inlineStr">
        <is>
          <t>fondos-bolsa</t>
        </is>
      </c>
      <c r="F293" t="inlineStr">
        <is>
          <t>Robeco BP US Premium Equities DH €</t>
        </is>
      </c>
      <c r="G293" t="inlineStr">
        <is>
          <t>EUR</t>
        </is>
      </c>
      <c r="H293" s="2" t="inlineStr">
        <is>
          <t>si</t>
        </is>
      </c>
    </row>
    <row r="294">
      <c r="A294" t="inlineStr">
        <is>
          <t>LU0254836850</t>
        </is>
      </c>
      <c r="B294" t="inlineStr">
        <is>
          <t>LU0254836850.EUFUND</t>
        </is>
      </c>
      <c r="C294" t="inlineStr">
        <is>
          <t>FUND</t>
        </is>
      </c>
      <c r="D294" t="inlineStr">
        <is>
          <t>EQUITY</t>
        </is>
      </c>
      <c r="E294" t="inlineStr">
        <is>
          <t>fondos-bolsa</t>
        </is>
      </c>
      <c r="F294" t="inlineStr">
        <is>
          <t>Robeco Capital Growth Funds - Robeco Emerging Stars Equities D EUR</t>
        </is>
      </c>
      <c r="G294" t="inlineStr">
        <is>
          <t>EUR</t>
        </is>
      </c>
      <c r="H294" s="2" t="inlineStr">
        <is>
          <t>si</t>
        </is>
      </c>
    </row>
    <row r="295">
      <c r="A295" t="inlineStr">
        <is>
          <t>LU0187079347</t>
        </is>
      </c>
      <c r="B295" t="inlineStr">
        <is>
          <t>LU0187079347.EUFUND</t>
        </is>
      </c>
      <c r="C295" t="inlineStr">
        <is>
          <t>FUND</t>
        </is>
      </c>
      <c r="D295" t="inlineStr">
        <is>
          <t>EQUITY</t>
        </is>
      </c>
      <c r="E295" t="inlineStr">
        <is>
          <t>fondos-bolsa</t>
        </is>
      </c>
      <c r="F295" t="inlineStr">
        <is>
          <t>Robeco Global Consumer Trends D EUR</t>
        </is>
      </c>
      <c r="G295" t="inlineStr">
        <is>
          <t>EUR</t>
        </is>
      </c>
      <c r="H295" s="2" t="inlineStr">
        <is>
          <t>si</t>
        </is>
      </c>
    </row>
    <row r="296">
      <c r="A296" t="inlineStr">
        <is>
          <t>LU0554840230</t>
        </is>
      </c>
      <c r="B296" t="inlineStr">
        <is>
          <t>LU0554840230.EUFUND</t>
        </is>
      </c>
      <c r="C296" t="inlineStr">
        <is>
          <t>FUND</t>
        </is>
      </c>
      <c r="D296" t="inlineStr">
        <is>
          <t>EQUITY</t>
        </is>
      </c>
      <c r="E296" t="inlineStr">
        <is>
          <t>fondos-bolsa</t>
        </is>
      </c>
      <c r="F296" t="inlineStr">
        <is>
          <t>Robeco Global Consumer Trends Equities M €</t>
        </is>
      </c>
      <c r="G296" t="inlineStr">
        <is>
          <t>EUR</t>
        </is>
      </c>
      <c r="H296" s="2" t="inlineStr">
        <is>
          <t>si</t>
        </is>
      </c>
    </row>
    <row r="297">
      <c r="A297" t="inlineStr">
        <is>
          <t>LU0387754996</t>
        </is>
      </c>
      <c r="B297" t="inlineStr">
        <is>
          <t>LU0387754996.EUFUND</t>
        </is>
      </c>
      <c r="C297" t="inlineStr">
        <is>
          <t>FUND</t>
        </is>
      </c>
      <c r="D297" t="inlineStr">
        <is>
          <t>EQUITY</t>
        </is>
      </c>
      <c r="E297" t="inlineStr">
        <is>
          <t>fondos-bolsa</t>
        </is>
      </c>
      <c r="F297" t="inlineStr">
        <is>
          <t>Robeco Global Stars Equities D EUR</t>
        </is>
      </c>
      <c r="G297" t="inlineStr">
        <is>
          <t>EUR</t>
        </is>
      </c>
      <c r="H297" s="2" t="inlineStr">
        <is>
          <t>si</t>
        </is>
      </c>
    </row>
    <row r="298">
      <c r="A298" t="inlineStr">
        <is>
          <t>LU0491217419</t>
        </is>
      </c>
      <c r="B298" t="inlineStr">
        <is>
          <t>LU0491217419.EUFUND</t>
        </is>
      </c>
      <c r="C298" t="inlineStr">
        <is>
          <t>FUND</t>
        </is>
      </c>
      <c r="D298" t="inlineStr">
        <is>
          <t>EQUITY</t>
        </is>
      </c>
      <c r="E298" t="inlineStr">
        <is>
          <t>fondos-bolsa</t>
        </is>
      </c>
      <c r="F298" t="inlineStr">
        <is>
          <t>Robeco Indian Equities D €</t>
        </is>
      </c>
      <c r="G298" t="inlineStr">
        <is>
          <t>EUR</t>
        </is>
      </c>
      <c r="H298" s="2" t="inlineStr">
        <is>
          <t>si</t>
        </is>
      </c>
    </row>
    <row r="299">
      <c r="A299" t="inlineStr">
        <is>
          <t>LU0329355670</t>
        </is>
      </c>
      <c r="B299" t="inlineStr">
        <is>
          <t>LU0329355670.EUFUND</t>
        </is>
      </c>
      <c r="C299" t="inlineStr">
        <is>
          <t>FUND</t>
        </is>
      </c>
      <c r="D299" t="inlineStr">
        <is>
          <t>EQUITY</t>
        </is>
      </c>
      <c r="E299" t="inlineStr">
        <is>
          <t>fondos-bolsa</t>
        </is>
      </c>
      <c r="F299" t="inlineStr">
        <is>
          <t>Robeco QI Emerging Markets Active Equities D €</t>
        </is>
      </c>
      <c r="G299" t="inlineStr">
        <is>
          <t>EUR</t>
        </is>
      </c>
      <c r="H299" s="2" t="inlineStr">
        <is>
          <t>si</t>
        </is>
      </c>
    </row>
    <row r="300">
      <c r="A300" t="inlineStr">
        <is>
          <t>LU2145461757</t>
        </is>
      </c>
      <c r="B300" t="inlineStr">
        <is>
          <t>LU2145461757.EUFUND</t>
        </is>
      </c>
      <c r="C300" t="inlineStr">
        <is>
          <t>FUND</t>
        </is>
      </c>
      <c r="D300" t="inlineStr">
        <is>
          <t>EQUITY</t>
        </is>
      </c>
      <c r="E300" t="inlineStr">
        <is>
          <t>fondos-bolsa</t>
        </is>
      </c>
      <c r="F300" t="inlineStr">
        <is>
          <t>Robeco Smart Energy D-EUR Capitalisation</t>
        </is>
      </c>
      <c r="G300" t="inlineStr">
        <is>
          <t>EUR</t>
        </is>
      </c>
      <c r="H300" s="2" t="inlineStr">
        <is>
          <t>si</t>
        </is>
      </c>
    </row>
    <row r="301">
      <c r="A301" t="inlineStr">
        <is>
          <t>LU2145463373</t>
        </is>
      </c>
      <c r="B301" t="inlineStr">
        <is>
          <t>LU2145463373.EUFUND</t>
        </is>
      </c>
      <c r="C301" t="inlineStr">
        <is>
          <t>FUND</t>
        </is>
      </c>
      <c r="D301" t="inlineStr">
        <is>
          <t>EQUITY</t>
        </is>
      </c>
      <c r="E301" t="inlineStr">
        <is>
          <t>fondos-bolsa</t>
        </is>
      </c>
      <c r="F301" t="inlineStr">
        <is>
          <t>Robeco Smart Energy M2-EUR Capitalisation</t>
        </is>
      </c>
      <c r="G301" t="inlineStr">
        <is>
          <t>EUR</t>
        </is>
      </c>
      <c r="H301" s="2" t="inlineStr">
        <is>
          <t>si</t>
        </is>
      </c>
    </row>
    <row r="302">
      <c r="A302" t="inlineStr">
        <is>
          <t>LU2133220793</t>
        </is>
      </c>
      <c r="B302" t="inlineStr">
        <is>
          <t>LU2133220793.EUFUND</t>
        </is>
      </c>
      <c r="C302" t="inlineStr">
        <is>
          <t>FUND</t>
        </is>
      </c>
      <c r="D302" t="inlineStr">
        <is>
          <t>EQUITY</t>
        </is>
      </c>
      <c r="E302" t="inlineStr">
        <is>
          <t>fondos-bolsa</t>
        </is>
      </c>
      <c r="F302" t="inlineStr">
        <is>
          <t>Robeco Sustainable Asian Stars Equities DL EUR</t>
        </is>
      </c>
      <c r="G302" t="inlineStr">
        <is>
          <t>EUR</t>
        </is>
      </c>
      <c r="H302" s="2" t="inlineStr">
        <is>
          <t>si</t>
        </is>
      </c>
    </row>
    <row r="303">
      <c r="A303" t="inlineStr">
        <is>
          <t>LU2146190835</t>
        </is>
      </c>
      <c r="B303" t="inlineStr">
        <is>
          <t>LU2146190835.EUFUND</t>
        </is>
      </c>
      <c r="C303" t="inlineStr">
        <is>
          <t>FUND</t>
        </is>
      </c>
      <c r="D303" t="inlineStr">
        <is>
          <t>EQUITY</t>
        </is>
      </c>
      <c r="E303" t="inlineStr">
        <is>
          <t>fondos-bolsa</t>
        </is>
      </c>
      <c r="F303" t="inlineStr">
        <is>
          <t>Robeco Sustainable Water D-EUR Capitalisation</t>
        </is>
      </c>
      <c r="G303" t="inlineStr">
        <is>
          <t>EUR</t>
        </is>
      </c>
      <c r="H303" s="2" t="inlineStr">
        <is>
          <t>si</t>
        </is>
      </c>
    </row>
    <row r="304">
      <c r="A304" t="inlineStr">
        <is>
          <t>ES0170141008</t>
        </is>
      </c>
      <c r="B304" t="inlineStr">
        <is>
          <t>ES0170141008.EUFUND</t>
        </is>
      </c>
      <c r="C304" t="inlineStr">
        <is>
          <t>FUND</t>
        </is>
      </c>
      <c r="D304" t="inlineStr">
        <is>
          <t>EQUITY</t>
        </is>
      </c>
      <c r="E304" t="inlineStr">
        <is>
          <t>fondos-bolsa</t>
        </is>
      </c>
      <c r="F304" t="inlineStr">
        <is>
          <t>SANTALUCIA QUALITY ACCIONES EUROPEAS  FI</t>
        </is>
      </c>
      <c r="G304" t="inlineStr">
        <is>
          <t>EUR</t>
        </is>
      </c>
      <c r="H304" s="2" t="inlineStr">
        <is>
          <t>si</t>
        </is>
      </c>
    </row>
    <row r="305">
      <c r="A305" t="inlineStr">
        <is>
          <t>LU0248184466</t>
        </is>
      </c>
      <c r="B305" t="inlineStr">
        <is>
          <t>LU0248184466.EUFUND</t>
        </is>
      </c>
      <c r="C305" t="inlineStr">
        <is>
          <t>FUND</t>
        </is>
      </c>
      <c r="D305" t="inlineStr">
        <is>
          <t>EQUITY</t>
        </is>
      </c>
      <c r="E305" t="inlineStr">
        <is>
          <t>fondos-bolsa</t>
        </is>
      </c>
      <c r="F305" t="inlineStr">
        <is>
          <t>Schroder International Selection Fund Asian Opportunities A Accumulation EUR</t>
        </is>
      </c>
      <c r="G305" t="inlineStr">
        <is>
          <t>EUR</t>
        </is>
      </c>
      <c r="H305" s="2" t="inlineStr">
        <is>
          <t>si</t>
        </is>
      </c>
    </row>
    <row r="306">
      <c r="A306" t="inlineStr">
        <is>
          <t>LU0248183906</t>
        </is>
      </c>
      <c r="B306" t="inlineStr">
        <is>
          <t>LU0248183906.EUFUND</t>
        </is>
      </c>
      <c r="C306" t="inlineStr">
        <is>
          <t>FUND</t>
        </is>
      </c>
      <c r="D306" t="inlineStr">
        <is>
          <t>EQUITY</t>
        </is>
      </c>
      <c r="E306" t="inlineStr">
        <is>
          <t>fondos-bolsa</t>
        </is>
      </c>
      <c r="F306" t="inlineStr">
        <is>
          <t>Schroder International Selection Fund Asian Opportunities B Accumulation EUR</t>
        </is>
      </c>
      <c r="G306" t="inlineStr">
        <is>
          <t>EUR</t>
        </is>
      </c>
      <c r="H306" s="2" t="inlineStr">
        <is>
          <t>si</t>
        </is>
      </c>
    </row>
    <row r="307">
      <c r="A307" t="inlineStr">
        <is>
          <t>LU0248172537</t>
        </is>
      </c>
      <c r="B307" t="inlineStr">
        <is>
          <t>LU0248172537.EUFUND</t>
        </is>
      </c>
      <c r="C307" t="inlineStr">
        <is>
          <t>FUND</t>
        </is>
      </c>
      <c r="D307" t="inlineStr">
        <is>
          <t>EQUITY</t>
        </is>
      </c>
      <c r="E307" t="inlineStr">
        <is>
          <t>fondos-bolsa</t>
        </is>
      </c>
      <c r="F307" t="inlineStr">
        <is>
          <t>Schroder International Selection Fund Emerging Asia A Accumulation EUR</t>
        </is>
      </c>
      <c r="G307" t="inlineStr">
        <is>
          <t>EUR</t>
        </is>
      </c>
      <c r="H307" s="2" t="inlineStr">
        <is>
          <t>si</t>
        </is>
      </c>
    </row>
    <row r="308">
      <c r="A308" t="inlineStr">
        <is>
          <t>LU0248174152</t>
        </is>
      </c>
      <c r="B308" t="inlineStr">
        <is>
          <t>LU0248174152.EUFUND</t>
        </is>
      </c>
      <c r="C308" t="inlineStr">
        <is>
          <t>FUND</t>
        </is>
      </c>
      <c r="D308" t="inlineStr">
        <is>
          <t>EQUITY</t>
        </is>
      </c>
      <c r="E308" t="inlineStr">
        <is>
          <t>fondos-bolsa</t>
        </is>
      </c>
      <c r="F308" t="inlineStr">
        <is>
          <t>Schroder International Selection Fund Emerging Asia A1 Accumulation EUR</t>
        </is>
      </c>
      <c r="G308" t="inlineStr">
        <is>
          <t>EUR</t>
        </is>
      </c>
      <c r="H308" s="2" t="inlineStr">
        <is>
          <t>si</t>
        </is>
      </c>
    </row>
    <row r="309">
      <c r="A309" t="inlineStr">
        <is>
          <t>LU0248173006</t>
        </is>
      </c>
      <c r="B309" t="inlineStr">
        <is>
          <t>LU0248173006.EUFUND</t>
        </is>
      </c>
      <c r="C309" t="inlineStr">
        <is>
          <t>FUND</t>
        </is>
      </c>
      <c r="D309" t="inlineStr">
        <is>
          <t>EQUITY</t>
        </is>
      </c>
      <c r="E309" t="inlineStr">
        <is>
          <t>fondos-bolsa</t>
        </is>
      </c>
      <c r="F309" t="inlineStr">
        <is>
          <t>Schroder International Selection Fund Emerging Asia B Accumulation EUR</t>
        </is>
      </c>
      <c r="G309" t="inlineStr">
        <is>
          <t>EUR</t>
        </is>
      </c>
      <c r="H309" s="2" t="inlineStr">
        <is>
          <t>si</t>
        </is>
      </c>
    </row>
    <row r="310">
      <c r="A310" t="inlineStr">
        <is>
          <t>LU0321373184</t>
        </is>
      </c>
      <c r="B310" t="inlineStr">
        <is>
          <t>LU0321373184.EUFUND</t>
        </is>
      </c>
      <c r="C310" t="inlineStr">
        <is>
          <t>FUND</t>
        </is>
      </c>
      <c r="D310" t="inlineStr">
        <is>
          <t>EQUITY</t>
        </is>
      </c>
      <c r="E310" t="inlineStr">
        <is>
          <t>fondos-bolsa</t>
        </is>
      </c>
      <c r="F310" t="inlineStr">
        <is>
          <t>Schroder International Selection Fund European Dividend Maximiser B Distribution QF</t>
        </is>
      </c>
      <c r="G310" t="inlineStr">
        <is>
          <t>EUR</t>
        </is>
      </c>
      <c r="H310" s="2" t="inlineStr">
        <is>
          <t>si</t>
        </is>
      </c>
    </row>
    <row r="311">
      <c r="A311" t="inlineStr">
        <is>
          <t>LU0161305163</t>
        </is>
      </c>
      <c r="B311" t="inlineStr">
        <is>
          <t>LU0161305163.EUFUND</t>
        </is>
      </c>
      <c r="C311" t="inlineStr">
        <is>
          <t>FUND</t>
        </is>
      </c>
      <c r="D311" t="inlineStr">
        <is>
          <t>EQUITY</t>
        </is>
      </c>
      <c r="E311" t="inlineStr">
        <is>
          <t>fondos-bolsa</t>
        </is>
      </c>
      <c r="F311" t="inlineStr">
        <is>
          <t>Schroder International Selection Fund European Value A Accumulation EUR</t>
        </is>
      </c>
      <c r="G311" t="inlineStr">
        <is>
          <t>EUR</t>
        </is>
      </c>
      <c r="H311" s="2" t="inlineStr">
        <is>
          <t>si</t>
        </is>
      </c>
    </row>
    <row r="312">
      <c r="A312" t="inlineStr">
        <is>
          <t>LU0161304786</t>
        </is>
      </c>
      <c r="B312" t="inlineStr">
        <is>
          <t>LU0161304786.EUFUND</t>
        </is>
      </c>
      <c r="C312" t="inlineStr">
        <is>
          <t>FUND</t>
        </is>
      </c>
      <c r="D312" t="inlineStr">
        <is>
          <t>EQUITY</t>
        </is>
      </c>
      <c r="E312" t="inlineStr">
        <is>
          <t>fondos-bolsa</t>
        </is>
      </c>
      <c r="F312" t="inlineStr">
        <is>
          <t>Schroder International Selection Fund European Value A1 Accumulation EUR</t>
        </is>
      </c>
      <c r="G312" t="inlineStr">
        <is>
          <t>EUR</t>
        </is>
      </c>
      <c r="H312" s="2" t="inlineStr">
        <is>
          <t>si</t>
        </is>
      </c>
    </row>
    <row r="313">
      <c r="A313" t="inlineStr">
        <is>
          <t>LU0161305593</t>
        </is>
      </c>
      <c r="B313" t="inlineStr">
        <is>
          <t>LU0161305593.EUFUND</t>
        </is>
      </c>
      <c r="C313" t="inlineStr">
        <is>
          <t>FUND</t>
        </is>
      </c>
      <c r="D313" t="inlineStr">
        <is>
          <t>EQUITY</t>
        </is>
      </c>
      <c r="E313" t="inlineStr">
        <is>
          <t>fondos-bolsa</t>
        </is>
      </c>
      <c r="F313" t="inlineStr">
        <is>
          <t>Schroder International Selection Fund European Value B Accumulation EUR</t>
        </is>
      </c>
      <c r="G313" t="inlineStr">
        <is>
          <t>EUR</t>
        </is>
      </c>
      <c r="H313" s="2" t="inlineStr">
        <is>
          <t>si</t>
        </is>
      </c>
    </row>
    <row r="314">
      <c r="A314" t="inlineStr">
        <is>
          <t>LU2016064201</t>
        </is>
      </c>
      <c r="B314" t="inlineStr">
        <is>
          <t>LU2016064201.EUFUND</t>
        </is>
      </c>
      <c r="C314" t="inlineStr">
        <is>
          <t>FUND</t>
        </is>
      </c>
      <c r="D314" t="inlineStr">
        <is>
          <t>EQUITY</t>
        </is>
      </c>
      <c r="E314" t="inlineStr">
        <is>
          <t>fondos-bolsa</t>
        </is>
      </c>
      <c r="F314" t="inlineStr">
        <is>
          <t>Schroder International Selection Fund Global Alternative Energy A Accumulation EUR Hedged</t>
        </is>
      </c>
      <c r="G314" t="inlineStr">
        <is>
          <t>EUR</t>
        </is>
      </c>
      <c r="H314" s="2" t="inlineStr">
        <is>
          <t>si</t>
        </is>
      </c>
    </row>
    <row r="315">
      <c r="A315" t="inlineStr">
        <is>
          <t>LU0302446645</t>
        </is>
      </c>
      <c r="B315" t="inlineStr">
        <is>
          <t>LU0302446645.EUFUND</t>
        </is>
      </c>
      <c r="C315" t="inlineStr">
        <is>
          <t>FUND</t>
        </is>
      </c>
      <c r="D315" t="inlineStr">
        <is>
          <t>EQUITY</t>
        </is>
      </c>
      <c r="E315" t="inlineStr">
        <is>
          <t>fondos-bolsa</t>
        </is>
      </c>
      <c r="F315" t="inlineStr">
        <is>
          <t>Schroder International Selection Fund Global Climate Change Equity A Accumulation EUR</t>
        </is>
      </c>
      <c r="G315" t="inlineStr">
        <is>
          <t>EUR</t>
        </is>
      </c>
      <c r="H315" s="2" t="inlineStr">
        <is>
          <t>si</t>
        </is>
      </c>
    </row>
    <row r="316">
      <c r="A316" t="inlineStr">
        <is>
          <t>LU0302446991</t>
        </is>
      </c>
      <c r="B316" t="inlineStr">
        <is>
          <t>LU0302446991.EUFUND</t>
        </is>
      </c>
      <c r="C316" t="inlineStr">
        <is>
          <t>FUND</t>
        </is>
      </c>
      <c r="D316" t="inlineStr">
        <is>
          <t>EQUITY</t>
        </is>
      </c>
      <c r="E316" t="inlineStr">
        <is>
          <t>fondos-bolsa</t>
        </is>
      </c>
      <c r="F316" t="inlineStr">
        <is>
          <t>Schroder International Selection Fund Global Climate Change Equity B Accumulation EUR</t>
        </is>
      </c>
      <c r="G316" t="inlineStr">
        <is>
          <t>EUR</t>
        </is>
      </c>
      <c r="H316" s="2" t="inlineStr">
        <is>
          <t>si</t>
        </is>
      </c>
    </row>
    <row r="317">
      <c r="A317" t="inlineStr">
        <is>
          <t>LU0279459456</t>
        </is>
      </c>
      <c r="B317" t="inlineStr">
        <is>
          <t>LU0279459456.EUFUND</t>
        </is>
      </c>
      <c r="C317" t="inlineStr">
        <is>
          <t>FUND</t>
        </is>
      </c>
      <c r="D317" t="inlineStr">
        <is>
          <t>EQUITY</t>
        </is>
      </c>
      <c r="E317" t="inlineStr">
        <is>
          <t>fondos-bolsa</t>
        </is>
      </c>
      <c r="F317" t="inlineStr">
        <is>
          <t>Schroder International Selection Fund Global Emerging Market Opportunities A Accumulation EUR</t>
        </is>
      </c>
      <c r="G317" t="inlineStr">
        <is>
          <t>EUR</t>
        </is>
      </c>
      <c r="H317" s="2" t="inlineStr">
        <is>
          <t>si</t>
        </is>
      </c>
    </row>
    <row r="318">
      <c r="A318" t="inlineStr">
        <is>
          <t>LU0248168428</t>
        </is>
      </c>
      <c r="B318" t="inlineStr">
        <is>
          <t>LU0248168428.EUFUND</t>
        </is>
      </c>
      <c r="C318" t="inlineStr">
        <is>
          <t>FUND</t>
        </is>
      </c>
      <c r="D318" t="inlineStr">
        <is>
          <t>EQUITY</t>
        </is>
      </c>
      <c r="E318" t="inlineStr">
        <is>
          <t>fondos-bolsa</t>
        </is>
      </c>
      <c r="F318" t="inlineStr">
        <is>
          <t>Schroder International Selection Fund Global Equity Alpha A Accumulation EUR</t>
        </is>
      </c>
      <c r="G318" t="inlineStr">
        <is>
          <t>EUR</t>
        </is>
      </c>
      <c r="H318" s="2" t="inlineStr">
        <is>
          <t>si</t>
        </is>
      </c>
    </row>
    <row r="319">
      <c r="A319" t="inlineStr">
        <is>
          <t>LU0248167537</t>
        </is>
      </c>
      <c r="B319" t="inlineStr">
        <is>
          <t>LU0248167537.EUFUND</t>
        </is>
      </c>
      <c r="C319" t="inlineStr">
        <is>
          <t>FUND</t>
        </is>
      </c>
      <c r="D319" t="inlineStr">
        <is>
          <t>EQUITY</t>
        </is>
      </c>
      <c r="E319" t="inlineStr">
        <is>
          <t>fondos-bolsa</t>
        </is>
      </c>
      <c r="F319" t="inlineStr">
        <is>
          <t>Schroder International Selection Fund Global Equity Alpha A1 Accumulation EUR</t>
        </is>
      </c>
      <c r="G319" t="inlineStr">
        <is>
          <t>EUR</t>
        </is>
      </c>
      <c r="H319" s="2" t="inlineStr">
        <is>
          <t>si</t>
        </is>
      </c>
    </row>
    <row r="320">
      <c r="A320" t="inlineStr">
        <is>
          <t>LU0248168261</t>
        </is>
      </c>
      <c r="B320" t="inlineStr">
        <is>
          <t>LU0248168261.EUFUND</t>
        </is>
      </c>
      <c r="C320" t="inlineStr">
        <is>
          <t>FUND</t>
        </is>
      </c>
      <c r="D320" t="inlineStr">
        <is>
          <t>EQUITY</t>
        </is>
      </c>
      <c r="E320" t="inlineStr">
        <is>
          <t>fondos-bolsa</t>
        </is>
      </c>
      <c r="F320" t="inlineStr">
        <is>
          <t>Schroder International Selection Fund Global Equity Alpha B Accumulation EUR</t>
        </is>
      </c>
      <c r="G320" t="inlineStr">
        <is>
          <t>EUR</t>
        </is>
      </c>
      <c r="H320" s="2" t="inlineStr">
        <is>
          <t>si</t>
        </is>
      </c>
    </row>
    <row r="321">
      <c r="A321" t="inlineStr">
        <is>
          <t>LU1223083087</t>
        </is>
      </c>
      <c r="B321" t="inlineStr">
        <is>
          <t>LU1223083087.EUFUND</t>
        </is>
      </c>
      <c r="C321" t="inlineStr">
        <is>
          <t>FUND</t>
        </is>
      </c>
      <c r="D321" t="inlineStr">
        <is>
          <t>EQUITY</t>
        </is>
      </c>
      <c r="E321" t="inlineStr">
        <is>
          <t>fondos-bolsa</t>
        </is>
      </c>
      <c r="F321" t="inlineStr">
        <is>
          <t>Schroder International Selection Fund Global Gold A Accumulation EUR Hedged</t>
        </is>
      </c>
      <c r="G321" t="inlineStr">
        <is>
          <t>EUR</t>
        </is>
      </c>
      <c r="H321" s="2" t="inlineStr">
        <is>
          <t>si</t>
        </is>
      </c>
    </row>
    <row r="322">
      <c r="A322" t="inlineStr">
        <is>
          <t>LU0279460892</t>
        </is>
      </c>
      <c r="B322" t="inlineStr">
        <is>
          <t>LU0279460892.EUFUND</t>
        </is>
      </c>
      <c r="C322" t="inlineStr">
        <is>
          <t>FUND</t>
        </is>
      </c>
      <c r="D322" t="inlineStr">
        <is>
          <t>EQUITY</t>
        </is>
      </c>
      <c r="E322" t="inlineStr">
        <is>
          <t>fondos-bolsa</t>
        </is>
      </c>
      <c r="F322" t="inlineStr">
        <is>
          <t>Schroder International Selection Fund Global Smaller Companies A1 Accumulation EUR</t>
        </is>
      </c>
      <c r="G322" t="inlineStr">
        <is>
          <t>EUR</t>
        </is>
      </c>
      <c r="H322" s="2" t="inlineStr">
        <is>
          <t>si</t>
        </is>
      </c>
    </row>
    <row r="323">
      <c r="A323" t="inlineStr">
        <is>
          <t>LU0365775922</t>
        </is>
      </c>
      <c r="B323" t="inlineStr">
        <is>
          <t>LU0365775922.EUFUND</t>
        </is>
      </c>
      <c r="C323" t="inlineStr">
        <is>
          <t>FUND</t>
        </is>
      </c>
      <c r="D323" t="inlineStr">
        <is>
          <t>EQUITY</t>
        </is>
      </c>
      <c r="E323" t="inlineStr">
        <is>
          <t>fondos-bolsa</t>
        </is>
      </c>
      <c r="F323" t="inlineStr">
        <is>
          <t>Schroder International Selection Fund Greater China A Accumulation EUR</t>
        </is>
      </c>
      <c r="G323" t="inlineStr">
        <is>
          <t>EUR</t>
        </is>
      </c>
      <c r="H323" s="2" t="inlineStr">
        <is>
          <t>si</t>
        </is>
      </c>
    </row>
    <row r="324">
      <c r="A324" t="inlineStr">
        <is>
          <t>LU0236738190</t>
        </is>
      </c>
      <c r="B324" t="inlineStr">
        <is>
          <t>LU0236738190.EUFUND</t>
        </is>
      </c>
      <c r="C324" t="inlineStr">
        <is>
          <t>FUND</t>
        </is>
      </c>
      <c r="D324" t="inlineStr">
        <is>
          <t>EQUITY</t>
        </is>
      </c>
      <c r="E324" t="inlineStr">
        <is>
          <t>fondos-bolsa</t>
        </is>
      </c>
      <c r="F324" t="inlineStr">
        <is>
          <t>Schroder International Selection Fund Japanese Equity B Accumulation EUR Hedged</t>
        </is>
      </c>
      <c r="G324" t="inlineStr">
        <is>
          <t>EUR</t>
        </is>
      </c>
      <c r="H324" s="2" t="inlineStr">
        <is>
          <t>si</t>
        </is>
      </c>
    </row>
    <row r="325">
      <c r="A325" t="inlineStr">
        <is>
          <t>LU0248181363</t>
        </is>
      </c>
      <c r="B325" t="inlineStr">
        <is>
          <t>LU0248181363.EUFUND</t>
        </is>
      </c>
      <c r="C325" t="inlineStr">
        <is>
          <t>FUND</t>
        </is>
      </c>
      <c r="D325" t="inlineStr">
        <is>
          <t>EQUITY</t>
        </is>
      </c>
      <c r="E325" t="inlineStr">
        <is>
          <t>fondos-bolsa</t>
        </is>
      </c>
      <c r="F325" t="inlineStr">
        <is>
          <t>Schroder International Selection Fund Latin American A Accumulation EUR</t>
        </is>
      </c>
      <c r="G325" t="inlineStr">
        <is>
          <t>EUR</t>
        </is>
      </c>
      <c r="H325" s="2" t="inlineStr">
        <is>
          <t>si</t>
        </is>
      </c>
    </row>
    <row r="326">
      <c r="A326" t="inlineStr">
        <is>
          <t>LU0248184383</t>
        </is>
      </c>
      <c r="B326" t="inlineStr">
        <is>
          <t>LU0248184383.EUFUND</t>
        </is>
      </c>
      <c r="C326" t="inlineStr">
        <is>
          <t>FUND</t>
        </is>
      </c>
      <c r="D326" t="inlineStr">
        <is>
          <t>EQUITY</t>
        </is>
      </c>
      <c r="E326" t="inlineStr">
        <is>
          <t>fondos-bolsa</t>
        </is>
      </c>
      <c r="F326" t="inlineStr">
        <is>
          <t>Schroder International Selection Fund Latin American A1 Accumulation EUR</t>
        </is>
      </c>
      <c r="G326" t="inlineStr">
        <is>
          <t>EUR</t>
        </is>
      </c>
      <c r="H326" s="2" t="inlineStr">
        <is>
          <t>si</t>
        </is>
      </c>
    </row>
    <row r="327">
      <c r="A327" t="inlineStr">
        <is>
          <t>LU0248183815</t>
        </is>
      </c>
      <c r="B327" t="inlineStr">
        <is>
          <t>LU0248183815.EUFUND</t>
        </is>
      </c>
      <c r="C327" t="inlineStr">
        <is>
          <t>FUND</t>
        </is>
      </c>
      <c r="D327" t="inlineStr">
        <is>
          <t>EQUITY</t>
        </is>
      </c>
      <c r="E327" t="inlineStr">
        <is>
          <t>fondos-bolsa</t>
        </is>
      </c>
      <c r="F327" t="inlineStr">
        <is>
          <t>Schroder International Selection Fund Latin American B Accumulation EUR</t>
        </is>
      </c>
      <c r="G327" t="inlineStr">
        <is>
          <t>EUR</t>
        </is>
      </c>
      <c r="H327" s="2" t="inlineStr">
        <is>
          <t>si</t>
        </is>
      </c>
    </row>
    <row r="328">
      <c r="A328" t="inlineStr">
        <is>
          <t>IE00B2NXKW18</t>
        </is>
      </c>
      <c r="B328" t="inlineStr">
        <is>
          <t>IE00B2NXKW18.EUFUND</t>
        </is>
      </c>
      <c r="C328" t="inlineStr">
        <is>
          <t>FUND</t>
        </is>
      </c>
      <c r="D328" t="inlineStr">
        <is>
          <t>EQUITY</t>
        </is>
      </c>
      <c r="E328" t="inlineStr">
        <is>
          <t>fondos-bolsa</t>
        </is>
      </c>
      <c r="F328" t="inlineStr">
        <is>
          <t>Seilern World Growth EUR U R</t>
        </is>
      </c>
      <c r="G328" t="inlineStr">
        <is>
          <t>EUR</t>
        </is>
      </c>
      <c r="H328" s="2" t="inlineStr">
        <is>
          <t>si</t>
        </is>
      </c>
    </row>
    <row r="329">
      <c r="A329" t="inlineStr">
        <is>
          <t>FR0010547869</t>
        </is>
      </c>
      <c r="B329" t="inlineStr">
        <is>
          <t>FR0010547869.EUFUND</t>
        </is>
      </c>
      <c r="C329" t="inlineStr">
        <is>
          <t>FUND</t>
        </is>
      </c>
      <c r="D329" t="inlineStr">
        <is>
          <t>EQUITY</t>
        </is>
      </c>
      <c r="E329" t="inlineStr">
        <is>
          <t>fondos-bolsa</t>
        </is>
      </c>
      <c r="F329" t="inlineStr">
        <is>
          <t>Sextant PME A</t>
        </is>
      </c>
      <c r="G329" t="inlineStr">
        <is>
          <t>EUR</t>
        </is>
      </c>
      <c r="H329" s="2" t="inlineStr">
        <is>
          <t>si</t>
        </is>
      </c>
    </row>
    <row r="330">
      <c r="A330" t="inlineStr">
        <is>
          <t>LU2375689580</t>
        </is>
      </c>
      <c r="B330" t="inlineStr">
        <is>
          <t>LU2375689580.EUFUND</t>
        </is>
      </c>
      <c r="C330" t="inlineStr">
        <is>
          <t>FUND</t>
        </is>
      </c>
      <c r="D330" t="inlineStr">
        <is>
          <t>EQUITY</t>
        </is>
      </c>
      <c r="E330" t="inlineStr">
        <is>
          <t>fondos-bolsa</t>
        </is>
      </c>
      <c r="F330" t="inlineStr">
        <is>
          <t>Sigma Investment House FCP - Global Equity A EUR Income</t>
        </is>
      </c>
      <c r="G330" t="inlineStr">
        <is>
          <t>EUR</t>
        </is>
      </c>
      <c r="H330" s="2" t="inlineStr">
        <is>
          <t>si</t>
        </is>
      </c>
    </row>
    <row r="331">
      <c r="A331" t="inlineStr">
        <is>
          <t>LU1899019175</t>
        </is>
      </c>
      <c r="B331" t="inlineStr">
        <is>
          <t>LU1899019175.EUFUND</t>
        </is>
      </c>
      <c r="C331" t="inlineStr">
        <is>
          <t>FUND</t>
        </is>
      </c>
      <c r="D331" t="inlineStr">
        <is>
          <t>EQUITY</t>
        </is>
      </c>
      <c r="E331" t="inlineStr">
        <is>
          <t>fondos-bolsa</t>
        </is>
      </c>
      <c r="F331" t="inlineStr">
        <is>
          <t>Sigma Investment House FCP - Smart Horizon Class A EUR Accumulation</t>
        </is>
      </c>
      <c r="G331" t="inlineStr">
        <is>
          <t>EUR</t>
        </is>
      </c>
      <c r="H331" s="2" t="inlineStr">
        <is>
          <t>si</t>
        </is>
      </c>
    </row>
    <row r="332">
      <c r="A332" t="inlineStr">
        <is>
          <t>ES0170865002</t>
        </is>
      </c>
      <c r="B332" t="inlineStr">
        <is>
          <t>ES0170865002.EUFUND</t>
        </is>
      </c>
      <c r="C332" t="inlineStr">
        <is>
          <t>FUND</t>
        </is>
      </c>
      <c r="D332" t="inlineStr">
        <is>
          <t>EQUITY</t>
        </is>
      </c>
      <c r="E332" t="inlineStr">
        <is>
          <t>fondos-bolsa</t>
        </is>
      </c>
      <c r="F332" t="inlineStr">
        <is>
          <t>SIGMA INVESTMENT HOUSE HEALTHCARE  FI</t>
        </is>
      </c>
      <c r="G332" t="inlineStr">
        <is>
          <t>EUR</t>
        </is>
      </c>
      <c r="H332" s="2" t="inlineStr">
        <is>
          <t>si</t>
        </is>
      </c>
    </row>
    <row r="333">
      <c r="A333" t="inlineStr">
        <is>
          <t>LU0986194024</t>
        </is>
      </c>
      <c r="B333" t="inlineStr">
        <is>
          <t>LU0986194024.EUFUND</t>
        </is>
      </c>
      <c r="C333" t="inlineStr">
        <is>
          <t>FUND</t>
        </is>
      </c>
      <c r="D333" t="inlineStr">
        <is>
          <t>EQUITY</t>
        </is>
      </c>
      <c r="E333" t="inlineStr">
        <is>
          <t>fondos-bolsa</t>
        </is>
      </c>
      <c r="F333" t="inlineStr">
        <is>
          <t>SIH FCP - Equity Europe A Classic</t>
        </is>
      </c>
      <c r="G333" t="inlineStr">
        <is>
          <t>EUR</t>
        </is>
      </c>
      <c r="H333" s="2" t="inlineStr">
        <is>
          <t>si</t>
        </is>
      </c>
    </row>
    <row r="334">
      <c r="A334" t="inlineStr">
        <is>
          <t>LU1066281574</t>
        </is>
      </c>
      <c r="B334" t="inlineStr">
        <is>
          <t>LU1066281574.EUFUND</t>
        </is>
      </c>
      <c r="C334" t="inlineStr">
        <is>
          <t>FUND</t>
        </is>
      </c>
      <c r="D334" t="inlineStr">
        <is>
          <t>EQUITY</t>
        </is>
      </c>
      <c r="E334" t="inlineStr">
        <is>
          <t>fondos-bolsa</t>
        </is>
      </c>
      <c r="F334" t="inlineStr">
        <is>
          <t>SIH FCP - Equity Spain A Classic</t>
        </is>
      </c>
      <c r="G334" t="inlineStr">
        <is>
          <t>EUR</t>
        </is>
      </c>
      <c r="H334" s="2" t="inlineStr">
        <is>
          <t>si</t>
        </is>
      </c>
    </row>
    <row r="335">
      <c r="A335" t="inlineStr">
        <is>
          <t>LU1301026388</t>
        </is>
      </c>
      <c r="B335" t="inlineStr">
        <is>
          <t>LU1301026388.EUFUND</t>
        </is>
      </c>
      <c r="C335" t="inlineStr">
        <is>
          <t>FUND</t>
        </is>
      </c>
      <c r="D335" t="inlineStr">
        <is>
          <t>EQUITY</t>
        </is>
      </c>
      <c r="E335" t="inlineStr">
        <is>
          <t>fondos-bolsa</t>
        </is>
      </c>
      <c r="F335" t="inlineStr">
        <is>
          <t>Sycomore Fund SICAV - Sycomore Europe Happy@Work RC EUR</t>
        </is>
      </c>
      <c r="G335" t="inlineStr">
        <is>
          <t>EUR</t>
        </is>
      </c>
      <c r="H335" s="2" t="inlineStr">
        <is>
          <t>si</t>
        </is>
      </c>
    </row>
    <row r="336">
      <c r="A336" t="inlineStr">
        <is>
          <t>LU0918140210</t>
        </is>
      </c>
      <c r="B336" t="inlineStr">
        <is>
          <t>LU0918140210.EUFUND</t>
        </is>
      </c>
      <c r="C336" t="inlineStr">
        <is>
          <t>FUND</t>
        </is>
      </c>
      <c r="D336" t="inlineStr">
        <is>
          <t>EQUITY</t>
        </is>
      </c>
      <c r="E336" t="inlineStr">
        <is>
          <t>fondos-bolsa</t>
        </is>
      </c>
      <c r="F336" t="inlineStr">
        <is>
          <t>T. Rowe Price Funds SICAV - US Smaller Companies Equity Fund A (EUR)</t>
        </is>
      </c>
      <c r="G336" t="inlineStr">
        <is>
          <t>EUR</t>
        </is>
      </c>
      <c r="H336" s="2" t="inlineStr">
        <is>
          <t>si</t>
        </is>
      </c>
    </row>
    <row r="337">
      <c r="A337" t="inlineStr">
        <is>
          <t>LU0188151921</t>
        </is>
      </c>
      <c r="B337" t="inlineStr">
        <is>
          <t>LU0188151921.EUFUND</t>
        </is>
      </c>
      <c r="C337" t="inlineStr">
        <is>
          <t>FUND</t>
        </is>
      </c>
      <c r="D337" t="inlineStr">
        <is>
          <t>EQUITY</t>
        </is>
      </c>
      <c r="E337" t="inlineStr">
        <is>
          <t>fondos-bolsa</t>
        </is>
      </c>
      <c r="F337" t="inlineStr">
        <is>
          <t>Templeton Emerging Markets Fund N(acc)EUR</t>
        </is>
      </c>
      <c r="G337" t="inlineStr">
        <is>
          <t>EUR</t>
        </is>
      </c>
      <c r="H337" s="2" t="inlineStr">
        <is>
          <t>si</t>
        </is>
      </c>
    </row>
    <row r="338">
      <c r="A338" t="inlineStr">
        <is>
          <t>LU0128521001</t>
        </is>
      </c>
      <c r="B338" t="inlineStr">
        <is>
          <t>LU0128521001.EUFUND</t>
        </is>
      </c>
      <c r="C338" t="inlineStr">
        <is>
          <t>FUND</t>
        </is>
      </c>
      <c r="D338" t="inlineStr">
        <is>
          <t>EQUITY</t>
        </is>
      </c>
      <c r="E338" t="inlineStr">
        <is>
          <t>fondos-bolsa</t>
        </is>
      </c>
      <c r="F338" t="inlineStr">
        <is>
          <t>Templeton European Insights Fund Class N (acc) EUR</t>
        </is>
      </c>
      <c r="G338" t="inlineStr">
        <is>
          <t>EUR</t>
        </is>
      </c>
      <c r="H338" s="2" t="inlineStr">
        <is>
          <t>si</t>
        </is>
      </c>
    </row>
    <row r="339">
      <c r="A339" t="inlineStr">
        <is>
          <t>LU1088692675</t>
        </is>
      </c>
      <c r="B339" t="inlineStr">
        <is>
          <t>LU1088692675.EUFUND</t>
        </is>
      </c>
      <c r="C339" t="inlineStr">
        <is>
          <t>FUND</t>
        </is>
      </c>
      <c r="D339" t="inlineStr">
        <is>
          <t>EQUITY</t>
        </is>
      </c>
      <c r="E339" t="inlineStr">
        <is>
          <t>fondos-bolsa</t>
        </is>
      </c>
      <c r="F339" t="inlineStr">
        <is>
          <t>UBAM - Global Equity AC EUR</t>
        </is>
      </c>
      <c r="G339" t="inlineStr">
        <is>
          <t>EUR</t>
        </is>
      </c>
      <c r="H339" s="2" t="inlineStr">
        <is>
          <t>si</t>
        </is>
      </c>
    </row>
    <row r="340">
      <c r="A340" t="inlineStr">
        <is>
          <t>LU2131365186</t>
        </is>
      </c>
      <c r="B340" t="inlineStr">
        <is>
          <t>LU2131365186.EUFUND</t>
        </is>
      </c>
      <c r="C340" t="inlineStr">
        <is>
          <t>FUND</t>
        </is>
      </c>
      <c r="D340" t="inlineStr">
        <is>
          <t>EQUITY</t>
        </is>
      </c>
      <c r="E340" t="inlineStr">
        <is>
          <t>fondos-bolsa</t>
        </is>
      </c>
      <c r="F340" t="inlineStr">
        <is>
          <t>UBS (Lux) Equity Fund - China Opportunity (USD) P EUR acc</t>
        </is>
      </c>
      <c r="G340" t="inlineStr">
        <is>
          <t>EUR</t>
        </is>
      </c>
      <c r="H340" s="2" t="inlineStr">
        <is>
          <t>si</t>
        </is>
      </c>
    </row>
    <row r="341">
      <c r="A341" t="inlineStr">
        <is>
          <t>LU0153925689</t>
        </is>
      </c>
      <c r="B341" t="inlineStr">
        <is>
          <t>LU0153925689.EUFUND</t>
        </is>
      </c>
      <c r="C341" t="inlineStr">
        <is>
          <t>FUND</t>
        </is>
      </c>
      <c r="D341" t="inlineStr">
        <is>
          <t>EQUITY</t>
        </is>
      </c>
      <c r="E341" t="inlineStr">
        <is>
          <t>fondos-bolsa</t>
        </is>
      </c>
      <c r="F341" t="inlineStr">
        <is>
          <t>UBS (Lux) Key Selection SICAV - European Equity Value Opportunity (EUR) P-acc</t>
        </is>
      </c>
      <c r="G341" t="inlineStr">
        <is>
          <t>EUR</t>
        </is>
      </c>
      <c r="H341" s="2" t="inlineStr">
        <is>
          <t>si</t>
        </is>
      </c>
    </row>
    <row r="342">
      <c r="A342" t="inlineStr">
        <is>
          <t>IE00BDH6RQ67</t>
        </is>
      </c>
      <c r="B342" t="inlineStr">
        <is>
          <t>IE00BDH6RQ67.EUFUND</t>
        </is>
      </c>
      <c r="C342" t="inlineStr">
        <is>
          <t>FUND</t>
        </is>
      </c>
      <c r="D342" t="inlineStr">
        <is>
          <t>EQUITY</t>
        </is>
      </c>
      <c r="E342" t="inlineStr">
        <is>
          <t>fondos-bolsa</t>
        </is>
      </c>
      <c r="F342" t="inlineStr">
        <is>
          <t>UTI India Dynamic Equity EURO Retail</t>
        </is>
      </c>
      <c r="G342" t="inlineStr">
        <is>
          <t>EUR</t>
        </is>
      </c>
      <c r="H342" s="2" t="inlineStr">
        <is>
          <t>si</t>
        </is>
      </c>
    </row>
    <row r="343">
      <c r="A343" t="inlineStr">
        <is>
          <t>ES0182769002</t>
        </is>
      </c>
      <c r="B343" t="inlineStr">
        <is>
          <t>ES0182769002.EUFUND</t>
        </is>
      </c>
      <c r="C343" t="inlineStr">
        <is>
          <t>FUND</t>
        </is>
      </c>
      <c r="D343" t="inlineStr">
        <is>
          <t>EQUITY</t>
        </is>
      </c>
      <c r="E343" t="inlineStr">
        <is>
          <t>fondos-bolsa</t>
        </is>
      </c>
      <c r="F343" t="inlineStr">
        <is>
          <t>VALENTUM  FI</t>
        </is>
      </c>
      <c r="G343" t="inlineStr">
        <is>
          <t>EUR</t>
        </is>
      </c>
      <c r="H343" s="2" t="inlineStr">
        <is>
          <t>si</t>
        </is>
      </c>
    </row>
    <row r="344">
      <c r="A344" t="inlineStr">
        <is>
          <t>IE00B03HCZ61</t>
        </is>
      </c>
      <c r="B344" t="inlineStr">
        <is>
          <t>IE00B03HCZ61.EUFUND</t>
        </is>
      </c>
      <c r="C344" t="inlineStr">
        <is>
          <t>FUND</t>
        </is>
      </c>
      <c r="D344" t="inlineStr">
        <is>
          <t>EQUITY</t>
        </is>
      </c>
      <c r="E344" t="inlineStr">
        <is>
          <t>fondos-bolsa</t>
        </is>
      </c>
      <c r="F344" t="inlineStr">
        <is>
          <t>Vanguard Global Stock Index Fund Investor EUR Accumulation</t>
        </is>
      </c>
      <c r="G344" t="inlineStr">
        <is>
          <t>EUR</t>
        </is>
      </c>
      <c r="H344" s="2" t="inlineStr">
        <is>
          <t>si</t>
        </is>
      </c>
    </row>
    <row r="345">
      <c r="A345" t="inlineStr">
        <is>
          <t>LU0153585137</t>
        </is>
      </c>
      <c r="B345" t="inlineStr">
        <is>
          <t>LU0153585137.EUFUND</t>
        </is>
      </c>
      <c r="C345" t="inlineStr">
        <is>
          <t>FUND</t>
        </is>
      </c>
      <c r="D345" t="inlineStr">
        <is>
          <t>EQUITY</t>
        </is>
      </c>
      <c r="E345" t="inlineStr">
        <is>
          <t>fondos-bolsa</t>
        </is>
      </c>
      <c r="F345" t="inlineStr">
        <is>
          <t>Vontobel Fund - European Equity B EUR Cap</t>
        </is>
      </c>
      <c r="G345" t="inlineStr">
        <is>
          <t>EUR</t>
        </is>
      </c>
      <c r="H345" s="2" t="inlineStr">
        <is>
          <t>si</t>
        </is>
      </c>
    </row>
    <row r="346">
      <c r="A346" t="inlineStr">
        <is>
          <t>IE00B8BPMF80</t>
        </is>
      </c>
      <c r="B346" t="inlineStr">
        <is>
          <t>IE00B8BPMF80.EUFUND</t>
        </is>
      </c>
      <c r="C346" t="inlineStr">
        <is>
          <t>FUND</t>
        </is>
      </c>
      <c r="D346" t="inlineStr">
        <is>
          <t>EQUITY</t>
        </is>
      </c>
      <c r="E346" t="inlineStr">
        <is>
          <t>fondos-bolsa</t>
        </is>
      </c>
      <c r="F346" t="inlineStr">
        <is>
          <t>Wellington Strategic European Equity Fund EUR D Ac</t>
        </is>
      </c>
      <c r="G346" t="inlineStr">
        <is>
          <t>EUR</t>
        </is>
      </c>
      <c r="H346" s="2" t="inlineStr">
        <is>
          <t>si</t>
        </is>
      </c>
    </row>
    <row r="347">
      <c r="A347" t="inlineStr">
        <is>
          <t>ES0156873004</t>
        </is>
      </c>
      <c r="B347" t="inlineStr">
        <is>
          <t>ES0156873004.EUFUND</t>
        </is>
      </c>
      <c r="C347" t="inlineStr">
        <is>
          <t>FUND</t>
        </is>
      </c>
      <c r="D347" t="inlineStr">
        <is>
          <t>FIXED_INCOME</t>
        </is>
      </c>
      <c r="E347" t="inlineStr">
        <is>
          <t>fondos-bonos</t>
        </is>
      </c>
      <c r="F347" t="inlineStr">
        <is>
          <t>A&amp;G RENTA FIJA CORTO PLAZO  FI</t>
        </is>
      </c>
      <c r="G347" t="inlineStr">
        <is>
          <t>EUR</t>
        </is>
      </c>
      <c r="H347" s="2" t="inlineStr">
        <is>
          <t>si</t>
        </is>
      </c>
    </row>
    <row r="348">
      <c r="A348" t="inlineStr">
        <is>
          <t>LU1021288268</t>
        </is>
      </c>
      <c r="B348" t="inlineStr">
        <is>
          <t>LU1021288268.EUFUND</t>
        </is>
      </c>
      <c r="C348" t="inlineStr">
        <is>
          <t>FUND</t>
        </is>
      </c>
      <c r="D348" t="inlineStr">
        <is>
          <t>FIXED_INCOME</t>
        </is>
      </c>
      <c r="E348" t="inlineStr">
        <is>
          <t>fondos-bonos</t>
        </is>
      </c>
      <c r="F348" t="inlineStr">
        <is>
          <t>AB FCP I - Mortgage Income Portfolio A2 EUR Acc</t>
        </is>
      </c>
      <c r="G348" t="inlineStr">
        <is>
          <t>EUR</t>
        </is>
      </c>
      <c r="H348" s="2" t="inlineStr">
        <is>
          <t>si</t>
        </is>
      </c>
    </row>
    <row r="349">
      <c r="A349" t="inlineStr">
        <is>
          <t>LU1919971074</t>
        </is>
      </c>
      <c r="B349" t="inlineStr">
        <is>
          <t>LU1919971074.EUFUND</t>
        </is>
      </c>
      <c r="C349" t="inlineStr">
        <is>
          <t>FUND</t>
        </is>
      </c>
      <c r="D349" t="inlineStr">
        <is>
          <t>FIXED_INCOME</t>
        </is>
      </c>
      <c r="E349" t="inlineStr">
        <is>
          <t>fondos-bonos</t>
        </is>
      </c>
      <c r="F349" t="inlineStr">
        <is>
          <t>abrdn SICAV I - Frontier Markets Bond Fund A Acc Hedged EUR</t>
        </is>
      </c>
      <c r="G349" t="inlineStr">
        <is>
          <t>EUR</t>
        </is>
      </c>
      <c r="H349" s="2" t="inlineStr">
        <is>
          <t>si</t>
        </is>
      </c>
    </row>
    <row r="350">
      <c r="A350" t="inlineStr">
        <is>
          <t>LU1254412460</t>
        </is>
      </c>
      <c r="B350" t="inlineStr">
        <is>
          <t>LU1254412460.EUFUND</t>
        </is>
      </c>
      <c r="C350" t="inlineStr">
        <is>
          <t>FUND</t>
        </is>
      </c>
      <c r="D350" t="inlineStr">
        <is>
          <t>FIXED_INCOME</t>
        </is>
      </c>
      <c r="E350" t="inlineStr">
        <is>
          <t>fondos-bonos</t>
        </is>
      </c>
      <c r="F350" t="inlineStr">
        <is>
          <t>abrdn SICAV I - Indian Bond Fund A Acc EUR</t>
        </is>
      </c>
      <c r="G350" t="inlineStr">
        <is>
          <t>EUR</t>
        </is>
      </c>
      <c r="H350" s="2" t="inlineStr">
        <is>
          <t>si</t>
        </is>
      </c>
    </row>
    <row r="351">
      <c r="A351" t="inlineStr">
        <is>
          <t>LU0177497491</t>
        </is>
      </c>
      <c r="B351" t="inlineStr">
        <is>
          <t>LU0177497491.EUFUND</t>
        </is>
      </c>
      <c r="C351" t="inlineStr">
        <is>
          <t>FUND</t>
        </is>
      </c>
      <c r="D351" t="inlineStr">
        <is>
          <t>FIXED_INCOME</t>
        </is>
      </c>
      <c r="E351" t="inlineStr">
        <is>
          <t>fondos-bonos</t>
        </is>
      </c>
      <c r="F351" t="inlineStr">
        <is>
          <t>abrdn SICAV II-Euro Corporate Bond Fund A Acc EUR</t>
        </is>
      </c>
      <c r="G351" t="inlineStr">
        <is>
          <t>EUR</t>
        </is>
      </c>
      <c r="H351" s="2" t="inlineStr">
        <is>
          <t>si</t>
        </is>
      </c>
    </row>
    <row r="352">
      <c r="A352" t="inlineStr">
        <is>
          <t>IE00B8J38129</t>
        </is>
      </c>
      <c r="B352" t="inlineStr">
        <is>
          <t>IE00B8J38129.EUFUND</t>
        </is>
      </c>
      <c r="C352" t="inlineStr">
        <is>
          <t>FUND</t>
        </is>
      </c>
      <c r="D352" t="inlineStr">
        <is>
          <t>FIXED_INCOME</t>
        </is>
      </c>
      <c r="E352" t="inlineStr">
        <is>
          <t>fondos-bonos</t>
        </is>
      </c>
      <c r="F352" t="inlineStr">
        <is>
          <t>Algebris UCITS Funds plc - Algebris Financial Credit Fund R EUR Acc</t>
        </is>
      </c>
      <c r="G352" t="inlineStr">
        <is>
          <t>EUR</t>
        </is>
      </c>
      <c r="H352" s="2" t="inlineStr">
        <is>
          <t>si</t>
        </is>
      </c>
    </row>
    <row r="353">
      <c r="A353" t="inlineStr">
        <is>
          <t>LU1079477284</t>
        </is>
      </c>
      <c r="B353" t="inlineStr">
        <is>
          <t>LU1079477284.EUFUND</t>
        </is>
      </c>
      <c r="C353" t="inlineStr">
        <is>
          <t>FUND</t>
        </is>
      </c>
      <c r="D353" t="inlineStr">
        <is>
          <t>FIXED_INCOME</t>
        </is>
      </c>
      <c r="E353" t="inlineStr">
        <is>
          <t>fondos-bonos</t>
        </is>
      </c>
      <c r="F353" t="inlineStr">
        <is>
          <t>Allianz Emerging Markets Short Duration Bond AT (H2-EUR)</t>
        </is>
      </c>
      <c r="G353" t="inlineStr">
        <is>
          <t>EUR</t>
        </is>
      </c>
      <c r="H353" s="2" t="inlineStr">
        <is>
          <t>si</t>
        </is>
      </c>
    </row>
    <row r="354">
      <c r="A354" t="inlineStr">
        <is>
          <t>FR0011387299</t>
        </is>
      </c>
      <c r="B354" t="inlineStr">
        <is>
          <t>FR0011387299.EUFUND</t>
        </is>
      </c>
      <c r="C354" t="inlineStr">
        <is>
          <t>FUND</t>
        </is>
      </c>
      <c r="D354" t="inlineStr">
        <is>
          <t>FIXED_INCOME</t>
        </is>
      </c>
      <c r="E354" t="inlineStr">
        <is>
          <t>fondos-bonos</t>
        </is>
      </c>
      <c r="F354" t="inlineStr">
        <is>
          <t>Allianz Euro Oblig Court Terme ISR RC</t>
        </is>
      </c>
      <c r="G354" t="inlineStr">
        <is>
          <t>EUR</t>
        </is>
      </c>
      <c r="H354" s="2" t="inlineStr">
        <is>
          <t>si</t>
        </is>
      </c>
    </row>
    <row r="355">
      <c r="A355" t="inlineStr">
        <is>
          <t>LU1951921383</t>
        </is>
      </c>
      <c r="B355" t="inlineStr">
        <is>
          <t>LU1951921383.EUFUND</t>
        </is>
      </c>
      <c r="C355" t="inlineStr">
        <is>
          <t>FUND</t>
        </is>
      </c>
      <c r="D355" t="inlineStr">
        <is>
          <t>FIXED_INCOME</t>
        </is>
      </c>
      <c r="E355" t="inlineStr">
        <is>
          <t>fondos-bonos</t>
        </is>
      </c>
      <c r="F355" t="inlineStr">
        <is>
          <t>Allianz Global Investors Fund - Allianz Credit Opportunities AT EUR</t>
        </is>
      </c>
      <c r="G355" t="inlineStr">
        <is>
          <t>EUR</t>
        </is>
      </c>
      <c r="H355" s="2" t="inlineStr">
        <is>
          <t>si</t>
        </is>
      </c>
    </row>
    <row r="356">
      <c r="A356" t="inlineStr">
        <is>
          <t>LU2002383896</t>
        </is>
      </c>
      <c r="B356" t="inlineStr">
        <is>
          <t>LU2002383896.EUFUND</t>
        </is>
      </c>
      <c r="C356" t="inlineStr">
        <is>
          <t>FUND</t>
        </is>
      </c>
      <c r="D356" t="inlineStr">
        <is>
          <t>FIXED_INCOME</t>
        </is>
      </c>
      <c r="E356" t="inlineStr">
        <is>
          <t>fondos-bonos</t>
        </is>
      </c>
      <c r="F356" t="inlineStr">
        <is>
          <t>Allianz Global Investors Fund - Allianz Credit Opportunities Plus AT EUR</t>
        </is>
      </c>
      <c r="G356" t="inlineStr">
        <is>
          <t>EUR</t>
        </is>
      </c>
      <c r="H356" s="2" t="inlineStr">
        <is>
          <t>si</t>
        </is>
      </c>
    </row>
    <row r="357">
      <c r="A357" t="inlineStr">
        <is>
          <t>LU1089088741</t>
        </is>
      </c>
      <c r="B357" t="inlineStr">
        <is>
          <t>LU1089088741.EUFUND</t>
        </is>
      </c>
      <c r="C357" t="inlineStr">
        <is>
          <t>FUND</t>
        </is>
      </c>
      <c r="D357" t="inlineStr">
        <is>
          <t>FIXED_INCOME</t>
        </is>
      </c>
      <c r="E357" t="inlineStr">
        <is>
          <t>fondos-bonos</t>
        </is>
      </c>
      <c r="F357" t="inlineStr">
        <is>
          <t>Allianz Global Investors Fund - Allianz Floating Rate Notes Plus VarioZins AT EUR</t>
        </is>
      </c>
      <c r="G357" t="inlineStr">
        <is>
          <t>EUR</t>
        </is>
      </c>
      <c r="H357" s="2" t="inlineStr">
        <is>
          <t>si</t>
        </is>
      </c>
    </row>
    <row r="358">
      <c r="A358" t="inlineStr">
        <is>
          <t>LU1383852487</t>
        </is>
      </c>
      <c r="B358" t="inlineStr">
        <is>
          <t>LU1383852487.EUFUND</t>
        </is>
      </c>
      <c r="C358" t="inlineStr">
        <is>
          <t>FUND</t>
        </is>
      </c>
      <c r="D358" t="inlineStr">
        <is>
          <t>FIXED_INCOME</t>
        </is>
      </c>
      <c r="E358" t="inlineStr">
        <is>
          <t>fondos-bonos</t>
        </is>
      </c>
      <c r="F358" t="inlineStr">
        <is>
          <t>Allianz Global Investors Fund - Allianz Floating Rate Notes Plus VarioZins AT2 EUR</t>
        </is>
      </c>
      <c r="G358" t="inlineStr">
        <is>
          <t>EUR</t>
        </is>
      </c>
      <c r="H358" s="2" t="inlineStr">
        <is>
          <t>si</t>
        </is>
      </c>
    </row>
    <row r="359">
      <c r="A359" t="inlineStr">
        <is>
          <t>ES0126542036</t>
        </is>
      </c>
      <c r="B359" t="inlineStr">
        <is>
          <t>ES0126542036.EUFUND</t>
        </is>
      </c>
      <c r="C359" t="inlineStr">
        <is>
          <t>FUND</t>
        </is>
      </c>
      <c r="D359" t="inlineStr">
        <is>
          <t>FIXED_INCOME</t>
        </is>
      </c>
      <c r="E359" t="inlineStr">
        <is>
          <t>fondos-bonos</t>
        </is>
      </c>
      <c r="F359" t="inlineStr">
        <is>
          <t>AMUNDI CORTO PLAZO  FI</t>
        </is>
      </c>
      <c r="G359" t="inlineStr">
        <is>
          <t>EUR</t>
        </is>
      </c>
      <c r="H359" s="2" t="inlineStr">
        <is>
          <t>si</t>
        </is>
      </c>
    </row>
    <row r="360">
      <c r="A360" t="inlineStr">
        <is>
          <t>FR0010829697</t>
        </is>
      </c>
      <c r="B360" t="inlineStr">
        <is>
          <t>FR0010829697.EUFUND</t>
        </is>
      </c>
      <c r="C360" t="inlineStr">
        <is>
          <t>FUND</t>
        </is>
      </c>
      <c r="D360" t="inlineStr">
        <is>
          <t>FIXED_INCOME</t>
        </is>
      </c>
      <c r="E360" t="inlineStr">
        <is>
          <t>fondos-bonos</t>
        </is>
      </c>
      <c r="F360" t="inlineStr">
        <is>
          <t>Amundi Enhanced Ultra Short Term Bond Select P-C</t>
        </is>
      </c>
      <c r="G360" t="inlineStr">
        <is>
          <t>EUR</t>
        </is>
      </c>
      <c r="H360" s="2" t="inlineStr">
        <is>
          <t>si</t>
        </is>
      </c>
    </row>
    <row r="361">
      <c r="A361" t="inlineStr">
        <is>
          <t>LU1161086159</t>
        </is>
      </c>
      <c r="B361" t="inlineStr">
        <is>
          <t>LU1161086159.EUFUND</t>
        </is>
      </c>
      <c r="C361" t="inlineStr">
        <is>
          <t>FUND</t>
        </is>
      </c>
      <c r="D361" t="inlineStr">
        <is>
          <t>FIXED_INCOME</t>
        </is>
      </c>
      <c r="E361" t="inlineStr">
        <is>
          <t>fondos-bonos</t>
        </is>
      </c>
      <c r="F361" t="inlineStr">
        <is>
          <t>Amundi Funds - Emerging Markets Blended Bond A EUR (C)</t>
        </is>
      </c>
      <c r="G361" t="inlineStr">
        <is>
          <t>EUR</t>
        </is>
      </c>
      <c r="H361" s="2" t="inlineStr">
        <is>
          <t>si</t>
        </is>
      </c>
    </row>
    <row r="362">
      <c r="A362" t="inlineStr">
        <is>
          <t>LU1882457143</t>
        </is>
      </c>
      <c r="B362" t="inlineStr">
        <is>
          <t>LU1882457143.EUFUND</t>
        </is>
      </c>
      <c r="C362" t="inlineStr">
        <is>
          <t>FUND</t>
        </is>
      </c>
      <c r="D362" t="inlineStr">
        <is>
          <t>FIXED_INCOME</t>
        </is>
      </c>
      <c r="E362" t="inlineStr">
        <is>
          <t>fondos-bonos</t>
        </is>
      </c>
      <c r="F362" t="inlineStr">
        <is>
          <t>Amundi Funds - Emerging Markets Corporate High Yield Bond A EUR (C)</t>
        </is>
      </c>
      <c r="G362" t="inlineStr">
        <is>
          <t>EUR</t>
        </is>
      </c>
      <c r="H362" s="2" t="inlineStr">
        <is>
          <t>si</t>
        </is>
      </c>
    </row>
    <row r="363">
      <c r="A363" t="inlineStr">
        <is>
          <t>LU1882457739</t>
        </is>
      </c>
      <c r="B363" t="inlineStr">
        <is>
          <t>LU1882457739.EUFUND</t>
        </is>
      </c>
      <c r="C363" t="inlineStr">
        <is>
          <t>FUND</t>
        </is>
      </c>
      <c r="D363" t="inlineStr">
        <is>
          <t>FIXED_INCOME</t>
        </is>
      </c>
      <c r="E363" t="inlineStr">
        <is>
          <t>fondos-bonos</t>
        </is>
      </c>
      <c r="F363" t="inlineStr">
        <is>
          <t>Amundi Funds - Emerging Markets Corporate High Yield Bond C EUR (C)</t>
        </is>
      </c>
      <c r="G363" t="inlineStr">
        <is>
          <t>EUR</t>
        </is>
      </c>
      <c r="H363" s="2" t="inlineStr">
        <is>
          <t>si</t>
        </is>
      </c>
    </row>
    <row r="364">
      <c r="A364" t="inlineStr">
        <is>
          <t>LU1882462655</t>
        </is>
      </c>
      <c r="B364" t="inlineStr">
        <is>
          <t>LU1882462655.EUFUND</t>
        </is>
      </c>
      <c r="C364" t="inlineStr">
        <is>
          <t>FUND</t>
        </is>
      </c>
      <c r="D364" t="inlineStr">
        <is>
          <t>FIXED_INCOME</t>
        </is>
      </c>
      <c r="E364" t="inlineStr">
        <is>
          <t>fondos-bonos</t>
        </is>
      </c>
      <c r="F364" t="inlineStr">
        <is>
          <t>Amundi Funds - Emerging Markets Short Term Bond A2 EUR (C)</t>
        </is>
      </c>
      <c r="G364" t="inlineStr">
        <is>
          <t>EUR</t>
        </is>
      </c>
      <c r="H364" s="2" t="inlineStr">
        <is>
          <t>si</t>
        </is>
      </c>
    </row>
    <row r="365">
      <c r="A365" t="inlineStr">
        <is>
          <t>LU1882462739</t>
        </is>
      </c>
      <c r="B365" t="inlineStr">
        <is>
          <t>LU1882462739.EUFUND</t>
        </is>
      </c>
      <c r="C365" t="inlineStr">
        <is>
          <t>FUND</t>
        </is>
      </c>
      <c r="D365" t="inlineStr">
        <is>
          <t>FIXED_INCOME</t>
        </is>
      </c>
      <c r="E365" t="inlineStr">
        <is>
          <t>fondos-bonos</t>
        </is>
      </c>
      <c r="F365" t="inlineStr">
        <is>
          <t>Amundi Funds - Emerging Markets Short Term Bond A2 EUR Hgd (C)</t>
        </is>
      </c>
      <c r="G365" t="inlineStr">
        <is>
          <t>EUR</t>
        </is>
      </c>
      <c r="H365" s="2" t="inlineStr">
        <is>
          <t>si</t>
        </is>
      </c>
    </row>
    <row r="366">
      <c r="A366" t="inlineStr">
        <is>
          <t>LU1883334275</t>
        </is>
      </c>
      <c r="B366" t="inlineStr">
        <is>
          <t>LU1883334275.EUFUND</t>
        </is>
      </c>
      <c r="C366" t="inlineStr">
        <is>
          <t>FUND</t>
        </is>
      </c>
      <c r="D366" t="inlineStr">
        <is>
          <t>FIXED_INCOME</t>
        </is>
      </c>
      <c r="E366" t="inlineStr">
        <is>
          <t>fondos-bonos</t>
        </is>
      </c>
      <c r="F366" t="inlineStr">
        <is>
          <t>Amundi Funds - Global Subordinated Bond A EUR (C)</t>
        </is>
      </c>
      <c r="G366" t="inlineStr">
        <is>
          <t>EUR</t>
        </is>
      </c>
      <c r="H366" s="2" t="inlineStr">
        <is>
          <t>si</t>
        </is>
      </c>
    </row>
    <row r="367">
      <c r="A367" t="inlineStr">
        <is>
          <t>LU1706854152</t>
        </is>
      </c>
      <c r="B367" t="inlineStr">
        <is>
          <t>LU1706854152.EUFUND</t>
        </is>
      </c>
      <c r="C367" t="inlineStr">
        <is>
          <t>FUND</t>
        </is>
      </c>
      <c r="D367" t="inlineStr">
        <is>
          <t>FIXED_INCOME</t>
        </is>
      </c>
      <c r="E367" t="inlineStr">
        <is>
          <t>fondos-bonos</t>
        </is>
      </c>
      <c r="F367" t="inlineStr">
        <is>
          <t>Amundi S.F. - Diversified Short-Term Bond Select A EUR ND</t>
        </is>
      </c>
      <c r="G367" t="inlineStr">
        <is>
          <t>EUR</t>
        </is>
      </c>
      <c r="H367" s="2" t="inlineStr">
        <is>
          <t>si</t>
        </is>
      </c>
    </row>
    <row r="368">
      <c r="A368" t="inlineStr">
        <is>
          <t>LU1499628912</t>
        </is>
      </c>
      <c r="B368" t="inlineStr">
        <is>
          <t>LU1499628912.EUFUND</t>
        </is>
      </c>
      <c r="C368" t="inlineStr">
        <is>
          <t>FUND</t>
        </is>
      </c>
      <c r="D368" t="inlineStr">
        <is>
          <t>FIXED_INCOME</t>
        </is>
      </c>
      <c r="E368" t="inlineStr">
        <is>
          <t>fondos-bonos</t>
        </is>
      </c>
      <c r="F368" t="inlineStr">
        <is>
          <t>Amundi S.F. - Diversified Short-Term Bond Select E EUR ND</t>
        </is>
      </c>
      <c r="G368" t="inlineStr">
        <is>
          <t>EUR</t>
        </is>
      </c>
      <c r="H368" s="2" t="inlineStr">
        <is>
          <t>si</t>
        </is>
      </c>
    </row>
    <row r="369">
      <c r="A369" t="inlineStr">
        <is>
          <t>FR0011365212</t>
        </is>
      </c>
      <c r="B369" t="inlineStr">
        <is>
          <t>FR0011365212.EUFUND</t>
        </is>
      </c>
      <c r="C369" t="inlineStr">
        <is>
          <t>FUND</t>
        </is>
      </c>
      <c r="D369" t="inlineStr">
        <is>
          <t>FIXED_INCOME</t>
        </is>
      </c>
      <c r="E369" t="inlineStr">
        <is>
          <t>fondos-bonos</t>
        </is>
      </c>
      <c r="F369" t="inlineStr">
        <is>
          <t>Amundi Ultra Short Term Bond Responsible E C</t>
        </is>
      </c>
      <c r="G369" t="inlineStr">
        <is>
          <t>EUR</t>
        </is>
      </c>
      <c r="H369" s="2" t="inlineStr">
        <is>
          <t>si</t>
        </is>
      </c>
    </row>
    <row r="370">
      <c r="A370" t="inlineStr">
        <is>
          <t>FR0050000860</t>
        </is>
      </c>
      <c r="B370" t="inlineStr">
        <is>
          <t>FR0050000860.EUFUND</t>
        </is>
      </c>
      <c r="C370" t="inlineStr">
        <is>
          <t>FUND</t>
        </is>
      </c>
      <c r="D370" t="inlineStr">
        <is>
          <t>FIXED_INCOME</t>
        </is>
      </c>
      <c r="E370" t="inlineStr">
        <is>
          <t>fondos-bonos</t>
        </is>
      </c>
      <c r="F370" t="inlineStr">
        <is>
          <t>Amundi Ultra Short Term Bond Responsible P C</t>
        </is>
      </c>
      <c r="G370" t="inlineStr">
        <is>
          <t>EUR</t>
        </is>
      </c>
      <c r="H370" s="2" t="inlineStr">
        <is>
          <t>si</t>
        </is>
      </c>
    </row>
    <row r="371">
      <c r="A371" t="inlineStr">
        <is>
          <t>ES0111166031</t>
        </is>
      </c>
      <c r="B371" t="inlineStr">
        <is>
          <t>ES0111166031.EUFUND</t>
        </is>
      </c>
      <c r="C371" t="inlineStr">
        <is>
          <t>FUND</t>
        </is>
      </c>
      <c r="D371" t="inlineStr">
        <is>
          <t>FIXED_INCOME</t>
        </is>
      </c>
      <c r="E371" t="inlineStr">
        <is>
          <t>fondos-bonos</t>
        </is>
      </c>
      <c r="F371" t="inlineStr">
        <is>
          <t>ATL CAPITAL CORTO PLAZO  FI</t>
        </is>
      </c>
      <c r="G371" t="inlineStr">
        <is>
          <t>EUR</t>
        </is>
      </c>
      <c r="H371" s="2" t="inlineStr">
        <is>
          <t>si</t>
        </is>
      </c>
    </row>
    <row r="372">
      <c r="A372" t="inlineStr">
        <is>
          <t>LU1738492658</t>
        </is>
      </c>
      <c r="B372" t="inlineStr">
        <is>
          <t>LU1738492658.EUFUND</t>
        </is>
      </c>
      <c r="C372" t="inlineStr">
        <is>
          <t>FUND</t>
        </is>
      </c>
      <c r="D372" t="inlineStr">
        <is>
          <t>FIXED_INCOME</t>
        </is>
      </c>
      <c r="E372" t="inlineStr">
        <is>
          <t>fondos-bonos</t>
        </is>
      </c>
      <c r="F372" t="inlineStr">
        <is>
          <t>Aviva Investors - Short Duration Global High Yield Bond Fund Ah EUR Acc</t>
        </is>
      </c>
      <c r="G372" t="inlineStr">
        <is>
          <t>EUR</t>
        </is>
      </c>
      <c r="H372" s="2" t="inlineStr">
        <is>
          <t>si</t>
        </is>
      </c>
    </row>
    <row r="373">
      <c r="A373" t="inlineStr">
        <is>
          <t>FR0010950055</t>
        </is>
      </c>
      <c r="B373" t="inlineStr">
        <is>
          <t>FR0010950055.EUFUND</t>
        </is>
      </c>
      <c r="C373" t="inlineStr">
        <is>
          <t>FUND</t>
        </is>
      </c>
      <c r="D373" t="inlineStr">
        <is>
          <t>FIXED_INCOME</t>
        </is>
      </c>
      <c r="E373" t="inlineStr">
        <is>
          <t>fondos-bonos</t>
        </is>
      </c>
      <c r="F373" t="inlineStr">
        <is>
          <t>AXA IM Euro 6M E</t>
        </is>
      </c>
      <c r="G373" t="inlineStr">
        <is>
          <t>EUR</t>
        </is>
      </c>
      <c r="H373" s="2" t="inlineStr">
        <is>
          <t>si</t>
        </is>
      </c>
    </row>
    <row r="374">
      <c r="A374" t="inlineStr">
        <is>
          <t>LU0658026512</t>
        </is>
      </c>
      <c r="B374" t="inlineStr">
        <is>
          <t>LU0658026512.EUFUND</t>
        </is>
      </c>
      <c r="C374" t="inlineStr">
        <is>
          <t>FUND</t>
        </is>
      </c>
      <c r="D374" t="inlineStr">
        <is>
          <t>FIXED_INCOME</t>
        </is>
      </c>
      <c r="E374" t="inlineStr">
        <is>
          <t>fondos-bonos</t>
        </is>
      </c>
      <c r="F374" t="inlineStr">
        <is>
          <t>AXA IM Fixed Income Investment Strategies - Europe Short Duration High Yield E Capitalisation EUR</t>
        </is>
      </c>
      <c r="G374" t="inlineStr">
        <is>
          <t>EUR</t>
        </is>
      </c>
      <c r="H374" s="2" t="inlineStr">
        <is>
          <t>si</t>
        </is>
      </c>
    </row>
    <row r="375">
      <c r="A375" t="inlineStr">
        <is>
          <t>LU1164219682</t>
        </is>
      </c>
      <c r="B375" t="inlineStr">
        <is>
          <t>LU1164219682.EUFUND</t>
        </is>
      </c>
      <c r="C375" t="inlineStr">
        <is>
          <t>FUND</t>
        </is>
      </c>
      <c r="D375" t="inlineStr">
        <is>
          <t>FIXED_INCOME</t>
        </is>
      </c>
      <c r="E375" t="inlineStr">
        <is>
          <t>fondos-bonos</t>
        </is>
      </c>
      <c r="F375" t="inlineStr">
        <is>
          <t>AXA World Funds - Euro Credit Total Return A Capitalisation EUR</t>
        </is>
      </c>
      <c r="G375" t="inlineStr">
        <is>
          <t>EUR</t>
        </is>
      </c>
      <c r="H375" s="2" t="inlineStr">
        <is>
          <t>si</t>
        </is>
      </c>
    </row>
    <row r="376">
      <c r="A376" t="inlineStr">
        <is>
          <t>LU1164220854</t>
        </is>
      </c>
      <c r="B376" t="inlineStr">
        <is>
          <t>LU1164220854.EUFUND</t>
        </is>
      </c>
      <c r="C376" t="inlineStr">
        <is>
          <t>FUND</t>
        </is>
      </c>
      <c r="D376" t="inlineStr">
        <is>
          <t>FIXED_INCOME</t>
        </is>
      </c>
      <c r="E376" t="inlineStr">
        <is>
          <t>fondos-bonos</t>
        </is>
      </c>
      <c r="F376" t="inlineStr">
        <is>
          <t>AXA World Funds - Euro Credit Total Return E Capitalisation EUR</t>
        </is>
      </c>
      <c r="G376" t="inlineStr">
        <is>
          <t>EUR</t>
        </is>
      </c>
      <c r="H376" s="2" t="inlineStr">
        <is>
          <t>si</t>
        </is>
      </c>
    </row>
    <row r="377">
      <c r="A377" t="inlineStr">
        <is>
          <t>LU0251661590</t>
        </is>
      </c>
      <c r="B377" t="inlineStr">
        <is>
          <t>LU0251661590.EUFUND</t>
        </is>
      </c>
      <c r="C377" t="inlineStr">
        <is>
          <t>FUND</t>
        </is>
      </c>
      <c r="D377" t="inlineStr">
        <is>
          <t>FIXED_INCOME</t>
        </is>
      </c>
      <c r="E377" t="inlineStr">
        <is>
          <t>fondos-bonos</t>
        </is>
      </c>
      <c r="F377" t="inlineStr">
        <is>
          <t>AXA World Funds - Euro Long Duration Bonds E Capitalisation EUR</t>
        </is>
      </c>
      <c r="G377" t="inlineStr">
        <is>
          <t>EUR</t>
        </is>
      </c>
      <c r="H377" s="2" t="inlineStr">
        <is>
          <t>si</t>
        </is>
      </c>
    </row>
    <row r="378">
      <c r="A378" t="inlineStr">
        <is>
          <t>LU0251660279</t>
        </is>
      </c>
      <c r="B378" t="inlineStr">
        <is>
          <t>LU0251660279.EUFUND</t>
        </is>
      </c>
      <c r="C378" t="inlineStr">
        <is>
          <t>FUND</t>
        </is>
      </c>
      <c r="D378" t="inlineStr">
        <is>
          <t>FIXED_INCOME</t>
        </is>
      </c>
      <c r="E378" t="inlineStr">
        <is>
          <t>fondos-bonos</t>
        </is>
      </c>
      <c r="F378" t="inlineStr">
        <is>
          <t>AXA World Funds - Euro Strategic Bonds E Capitalisation EUR</t>
        </is>
      </c>
      <c r="G378" t="inlineStr">
        <is>
          <t>EUR</t>
        </is>
      </c>
      <c r="H378" s="2" t="inlineStr">
        <is>
          <t>si</t>
        </is>
      </c>
    </row>
    <row r="379">
      <c r="A379" t="inlineStr">
        <is>
          <t>LU1353951376</t>
        </is>
      </c>
      <c r="B379" t="inlineStr">
        <is>
          <t>LU1353951376.EUFUND</t>
        </is>
      </c>
      <c r="C379" t="inlineStr">
        <is>
          <t>FUND</t>
        </is>
      </c>
      <c r="D379" t="inlineStr">
        <is>
          <t>FIXED_INCOME</t>
        </is>
      </c>
      <c r="E379" t="inlineStr">
        <is>
          <t>fondos-bonos</t>
        </is>
      </c>
      <c r="F379" t="inlineStr">
        <is>
          <t>AXA World Funds - Global Inflation Short Duration Bonds E Capitalisation EUR (Hedged)</t>
        </is>
      </c>
      <c r="G379" t="inlineStr">
        <is>
          <t>EUR</t>
        </is>
      </c>
      <c r="H379" s="2" t="inlineStr">
        <is>
          <t>si</t>
        </is>
      </c>
    </row>
    <row r="380">
      <c r="A380" t="inlineStr">
        <is>
          <t>LU2697545247</t>
        </is>
      </c>
      <c r="B380" t="inlineStr">
        <is>
          <t>LU2697545247.EUFUND</t>
        </is>
      </c>
      <c r="C380" t="inlineStr">
        <is>
          <t>FUND</t>
        </is>
      </c>
      <c r="D380" t="inlineStr">
        <is>
          <t>FIXED_INCOME</t>
        </is>
      </c>
      <c r="E380" t="inlineStr">
        <is>
          <t>fondos-bonos</t>
        </is>
      </c>
      <c r="F380" t="inlineStr">
        <is>
          <t>BGF Euro Investment Grade Fixed Maturity Bond Fund 2028 A2</t>
        </is>
      </c>
      <c r="G380" t="inlineStr">
        <is>
          <t>EUR</t>
        </is>
      </c>
      <c r="H380" s="2" t="inlineStr">
        <is>
          <t>si</t>
        </is>
      </c>
    </row>
    <row r="381">
      <c r="A381" t="inlineStr">
        <is>
          <t>LU0438336694</t>
        </is>
      </c>
      <c r="B381" t="inlineStr">
        <is>
          <t>LU0438336694.EUFUND</t>
        </is>
      </c>
      <c r="C381" t="inlineStr">
        <is>
          <t>FUND</t>
        </is>
      </c>
      <c r="D381" t="inlineStr">
        <is>
          <t>FIXED_INCOME</t>
        </is>
      </c>
      <c r="E381" t="inlineStr">
        <is>
          <t>fondos-bonos</t>
        </is>
      </c>
      <c r="F381" t="inlineStr">
        <is>
          <t>BlackRock ESG Fixed Income Strategies Fund E2 EUR</t>
        </is>
      </c>
      <c r="G381" t="inlineStr">
        <is>
          <t>EUR</t>
        </is>
      </c>
      <c r="H381" s="2" t="inlineStr">
        <is>
          <t>si</t>
        </is>
      </c>
    </row>
    <row r="382">
      <c r="A382" t="inlineStr">
        <is>
          <t>LU2267099674</t>
        </is>
      </c>
      <c r="B382" t="inlineStr">
        <is>
          <t>LU2267099674.EUFUND</t>
        </is>
      </c>
      <c r="C382" t="inlineStr">
        <is>
          <t>FUND</t>
        </is>
      </c>
      <c r="D382" t="inlineStr">
        <is>
          <t>FIXED_INCOME</t>
        </is>
      </c>
      <c r="E382" t="inlineStr">
        <is>
          <t>fondos-bonos</t>
        </is>
      </c>
      <c r="F382" t="inlineStr">
        <is>
          <t>BlackRock Global Funds - China Bond Fund Class A2 USD</t>
        </is>
      </c>
      <c r="G382" t="inlineStr">
        <is>
          <t>EUR</t>
        </is>
      </c>
      <c r="H382" s="2" t="inlineStr">
        <is>
          <t>si</t>
        </is>
      </c>
    </row>
    <row r="383">
      <c r="A383" t="inlineStr">
        <is>
          <t>LU0413376566</t>
        </is>
      </c>
      <c r="B383" t="inlineStr">
        <is>
          <t>LU0413376566.EUFUND</t>
        </is>
      </c>
      <c r="C383" t="inlineStr">
        <is>
          <t>FUND</t>
        </is>
      </c>
      <c r="D383" t="inlineStr">
        <is>
          <t>FIXED_INCOME</t>
        </is>
      </c>
      <c r="E383" t="inlineStr">
        <is>
          <t>fondos-bonos</t>
        </is>
      </c>
      <c r="F383" t="inlineStr">
        <is>
          <t>BlackRock Global Funds - Emerging Markets Bond Fund A2 Hedged</t>
        </is>
      </c>
      <c r="G383" t="inlineStr">
        <is>
          <t>EUR</t>
        </is>
      </c>
      <c r="H383" s="2" t="inlineStr">
        <is>
          <t>si</t>
        </is>
      </c>
    </row>
    <row r="384">
      <c r="A384" t="inlineStr">
        <is>
          <t>LU0200684180</t>
        </is>
      </c>
      <c r="B384" t="inlineStr">
        <is>
          <t>LU0200684180.EUFUND</t>
        </is>
      </c>
      <c r="C384" t="inlineStr">
        <is>
          <t>FUND</t>
        </is>
      </c>
      <c r="D384" t="inlineStr">
        <is>
          <t>FIXED_INCOME</t>
        </is>
      </c>
      <c r="E384" t="inlineStr">
        <is>
          <t>fondos-bonos</t>
        </is>
      </c>
      <c r="F384" t="inlineStr">
        <is>
          <t>BlackRock Global Funds - Emerging Markets Bond Fund E2</t>
        </is>
      </c>
      <c r="G384" t="inlineStr">
        <is>
          <t>EUR</t>
        </is>
      </c>
      <c r="H384" s="2" t="inlineStr">
        <is>
          <t>si</t>
        </is>
      </c>
    </row>
    <row r="385">
      <c r="A385" t="inlineStr">
        <is>
          <t>LU0162660350</t>
        </is>
      </c>
      <c r="B385" t="inlineStr">
        <is>
          <t>LU0162660350.EUFUND</t>
        </is>
      </c>
      <c r="C385" t="inlineStr">
        <is>
          <t>FUND</t>
        </is>
      </c>
      <c r="D385" t="inlineStr">
        <is>
          <t>FIXED_INCOME</t>
        </is>
      </c>
      <c r="E385" t="inlineStr">
        <is>
          <t>fondos-bonos</t>
        </is>
      </c>
      <c r="F385" t="inlineStr">
        <is>
          <t>BlackRock Global Funds - Euro Corporate Bond Fund A1</t>
        </is>
      </c>
      <c r="G385" t="inlineStr">
        <is>
          <t>EUR</t>
        </is>
      </c>
      <c r="H385" s="2" t="inlineStr">
        <is>
          <t>si</t>
        </is>
      </c>
    </row>
    <row r="386">
      <c r="A386" t="inlineStr">
        <is>
          <t>LU2697545163</t>
        </is>
      </c>
      <c r="B386" t="inlineStr">
        <is>
          <t>LU2697545163.EUFUND</t>
        </is>
      </c>
      <c r="C386" t="inlineStr">
        <is>
          <t>FUND</t>
        </is>
      </c>
      <c r="D386" t="inlineStr">
        <is>
          <t>FIXED_INCOME</t>
        </is>
      </c>
      <c r="E386" t="inlineStr">
        <is>
          <t>fondos-bonos</t>
        </is>
      </c>
      <c r="F386" t="inlineStr">
        <is>
          <t>BlackRock Global Funds - Euro High Yield Fixed Maturity Bond Fund 2027 Class A2</t>
        </is>
      </c>
      <c r="G386" t="inlineStr">
        <is>
          <t>EUR</t>
        </is>
      </c>
      <c r="H386" s="2" t="inlineStr">
        <is>
          <t>si</t>
        </is>
      </c>
    </row>
    <row r="387">
      <c r="A387" t="inlineStr">
        <is>
          <t>LU1191877379</t>
        </is>
      </c>
      <c r="B387" t="inlineStr">
        <is>
          <t>LU1191877379.EUFUND</t>
        </is>
      </c>
      <c r="C387" t="inlineStr">
        <is>
          <t>FUND</t>
        </is>
      </c>
      <c r="D387" t="inlineStr">
        <is>
          <t>FIXED_INCOME</t>
        </is>
      </c>
      <c r="E387" t="inlineStr">
        <is>
          <t>fondos-bonos</t>
        </is>
      </c>
      <c r="F387" t="inlineStr">
        <is>
          <t>BlackRock Global Funds - European High Yield Bond Fund A2</t>
        </is>
      </c>
      <c r="G387" t="inlineStr">
        <is>
          <t>EUR</t>
        </is>
      </c>
      <c r="H387" s="2" t="inlineStr">
        <is>
          <t>si</t>
        </is>
      </c>
    </row>
    <row r="388">
      <c r="A388" t="inlineStr">
        <is>
          <t>LU0425308169</t>
        </is>
      </c>
      <c r="B388" t="inlineStr">
        <is>
          <t>LU0425308169.EUFUND</t>
        </is>
      </c>
      <c r="C388" t="inlineStr">
        <is>
          <t>FUND</t>
        </is>
      </c>
      <c r="D388" t="inlineStr">
        <is>
          <t>FIXED_INCOME</t>
        </is>
      </c>
      <c r="E388" t="inlineStr">
        <is>
          <t>fondos-bonos</t>
        </is>
      </c>
      <c r="F388" t="inlineStr">
        <is>
          <t>BlackRock Global Funds - Global Inflation Linked Bond Fund A2 EUR Hedged</t>
        </is>
      </c>
      <c r="G388" t="inlineStr">
        <is>
          <t>EUR</t>
        </is>
      </c>
      <c r="H388" s="2" t="inlineStr">
        <is>
          <t>si</t>
        </is>
      </c>
    </row>
    <row r="389">
      <c r="A389" t="inlineStr">
        <is>
          <t>LU0823394852</t>
        </is>
      </c>
      <c r="B389" t="inlineStr">
        <is>
          <t>LU0823394852.EUFUND</t>
        </is>
      </c>
      <c r="C389" t="inlineStr">
        <is>
          <t>FUND</t>
        </is>
      </c>
      <c r="D389" t="inlineStr">
        <is>
          <t>FIXED_INCOME</t>
        </is>
      </c>
      <c r="E389" t="inlineStr">
        <is>
          <t>fondos-bonos</t>
        </is>
      </c>
      <c r="F389" t="inlineStr">
        <is>
          <t>BNP Paribas Funds Global Convertible Classic RH EUR Capitalisation</t>
        </is>
      </c>
      <c r="G389" t="inlineStr">
        <is>
          <t>EUR</t>
        </is>
      </c>
      <c r="H389" s="2" t="inlineStr">
        <is>
          <t>si</t>
        </is>
      </c>
    </row>
    <row r="390">
      <c r="A390" t="inlineStr">
        <is>
          <t>IE00B11YFH93</t>
        </is>
      </c>
      <c r="B390" t="inlineStr">
        <is>
          <t>IE00B11YFH93.EUFUND</t>
        </is>
      </c>
      <c r="C390" t="inlineStr">
        <is>
          <t>FUND</t>
        </is>
      </c>
      <c r="D390" t="inlineStr">
        <is>
          <t>FIXED_INCOME</t>
        </is>
      </c>
      <c r="E390" t="inlineStr">
        <is>
          <t>fondos-bonos</t>
        </is>
      </c>
      <c r="F390" t="inlineStr">
        <is>
          <t>BNY Mellon Emerging Markets Debt Local Currency Fund EUR A Acc</t>
        </is>
      </c>
      <c r="G390" t="inlineStr">
        <is>
          <t>EUR</t>
        </is>
      </c>
      <c r="H390" s="2" t="inlineStr">
        <is>
          <t>si</t>
        </is>
      </c>
    </row>
    <row r="391">
      <c r="A391" t="inlineStr">
        <is>
          <t>IE0032722484</t>
        </is>
      </c>
      <c r="B391" t="inlineStr">
        <is>
          <t>IE0032722484.EUFUND</t>
        </is>
      </c>
      <c r="C391" t="inlineStr">
        <is>
          <t>FUND</t>
        </is>
      </c>
      <c r="D391" t="inlineStr">
        <is>
          <t>FIXED_INCOME</t>
        </is>
      </c>
      <c r="E391" t="inlineStr">
        <is>
          <t>fondos-bonos</t>
        </is>
      </c>
      <c r="F391" t="inlineStr">
        <is>
          <t>BNY Mellon Euroland Bond Fund EUR C Acc</t>
        </is>
      </c>
      <c r="G391" t="inlineStr">
        <is>
          <t>EUR</t>
        </is>
      </c>
      <c r="H391" s="2" t="inlineStr">
        <is>
          <t>si</t>
        </is>
      </c>
    </row>
    <row r="392">
      <c r="A392" t="inlineStr">
        <is>
          <t>IE00BD5CTX77</t>
        </is>
      </c>
      <c r="B392" t="inlineStr">
        <is>
          <t>IE00BD5CTX77.EUFUND</t>
        </is>
      </c>
      <c r="C392" t="inlineStr">
        <is>
          <t>FUND</t>
        </is>
      </c>
      <c r="D392" t="inlineStr">
        <is>
          <t>FIXED_INCOME</t>
        </is>
      </c>
      <c r="E392" t="inlineStr">
        <is>
          <t>fondos-bonos</t>
        </is>
      </c>
      <c r="F392" t="inlineStr">
        <is>
          <t>BNY Mellon Global Short-Dated High Yield Bond Fund EUR H Acc Hedged</t>
        </is>
      </c>
      <c r="G392" t="inlineStr">
        <is>
          <t>EUR</t>
        </is>
      </c>
      <c r="H392" s="2" t="inlineStr">
        <is>
          <t>si</t>
        </is>
      </c>
    </row>
    <row r="393">
      <c r="A393" t="inlineStr">
        <is>
          <t>LU2278574988</t>
        </is>
      </c>
      <c r="B393" t="inlineStr">
        <is>
          <t>LU2278574988.EUFUND</t>
        </is>
      </c>
      <c r="C393" t="inlineStr">
        <is>
          <t>FUND</t>
        </is>
      </c>
      <c r="D393" t="inlineStr">
        <is>
          <t>FIXED_INCOME</t>
        </is>
      </c>
      <c r="E393" t="inlineStr">
        <is>
          <t>fondos-bonos</t>
        </is>
      </c>
      <c r="F393" t="inlineStr">
        <is>
          <t>Buy &amp; Hold Luxembourg B&amp;H Bond Class 2</t>
        </is>
      </c>
      <c r="G393" t="inlineStr">
        <is>
          <t>EUR</t>
        </is>
      </c>
      <c r="H393" s="2" t="inlineStr">
        <is>
          <t>si</t>
        </is>
      </c>
    </row>
    <row r="394">
      <c r="A394" t="inlineStr">
        <is>
          <t>LU2098772366</t>
        </is>
      </c>
      <c r="B394" t="inlineStr">
        <is>
          <t>LU2098772366.EUFUND</t>
        </is>
      </c>
      <c r="C394" t="inlineStr">
        <is>
          <t>FUND</t>
        </is>
      </c>
      <c r="D394" t="inlineStr">
        <is>
          <t>FIXED_INCOME</t>
        </is>
      </c>
      <c r="E394" t="inlineStr">
        <is>
          <t>fondos-bonos</t>
        </is>
      </c>
      <c r="F394" t="inlineStr">
        <is>
          <t>Candriam Bonds Credit Alpha C EUR</t>
        </is>
      </c>
      <c r="G394" t="inlineStr">
        <is>
          <t>EUR</t>
        </is>
      </c>
      <c r="H394" s="2" t="inlineStr">
        <is>
          <t>si</t>
        </is>
      </c>
    </row>
    <row r="395">
      <c r="A395" t="inlineStr">
        <is>
          <t>LU0151324935</t>
        </is>
      </c>
      <c r="B395" t="inlineStr">
        <is>
          <t>LU0151324935.EUFUND</t>
        </is>
      </c>
      <c r="C395" t="inlineStr">
        <is>
          <t>FUND</t>
        </is>
      </c>
      <c r="D395" t="inlineStr">
        <is>
          <t>FIXED_INCOME</t>
        </is>
      </c>
      <c r="E395" t="inlineStr">
        <is>
          <t>fondos-bonos</t>
        </is>
      </c>
      <c r="F395" t="inlineStr">
        <is>
          <t>Candriam Bonds Credit Opportunities Class N EUR Cap</t>
        </is>
      </c>
      <c r="G395" t="inlineStr">
        <is>
          <t>EUR</t>
        </is>
      </c>
      <c r="H395" s="2" t="inlineStr">
        <is>
          <t>si</t>
        </is>
      </c>
    </row>
    <row r="396">
      <c r="A396" t="inlineStr">
        <is>
          <t>LU0594539719</t>
        </is>
      </c>
      <c r="B396" t="inlineStr">
        <is>
          <t>LU0594539719.EUFUND</t>
        </is>
      </c>
      <c r="C396" t="inlineStr">
        <is>
          <t>FUND</t>
        </is>
      </c>
      <c r="D396" t="inlineStr">
        <is>
          <t>FIXED_INCOME</t>
        </is>
      </c>
      <c r="E396" t="inlineStr">
        <is>
          <t>fondos-bonos</t>
        </is>
      </c>
      <c r="F396" t="inlineStr">
        <is>
          <t>Candriam Bonds Emerging Markets Class C EUR Hedged Cap</t>
        </is>
      </c>
      <c r="G396" t="inlineStr">
        <is>
          <t>EUR</t>
        </is>
      </c>
      <c r="H396" s="2" t="inlineStr">
        <is>
          <t>si</t>
        </is>
      </c>
    </row>
    <row r="397">
      <c r="A397" t="inlineStr">
        <is>
          <t>LU0077500055</t>
        </is>
      </c>
      <c r="B397" t="inlineStr">
        <is>
          <t>LU0077500055.EUFUND</t>
        </is>
      </c>
      <c r="C397" t="inlineStr">
        <is>
          <t>FUND</t>
        </is>
      </c>
      <c r="D397" t="inlineStr">
        <is>
          <t>FIXED_INCOME</t>
        </is>
      </c>
      <c r="E397" t="inlineStr">
        <is>
          <t>fondos-bonos</t>
        </is>
      </c>
      <c r="F397" t="inlineStr">
        <is>
          <t>Candriam Bonds Euro Corporate 2036 Class C EUR Cap</t>
        </is>
      </c>
      <c r="G397" t="inlineStr">
        <is>
          <t>EUR</t>
        </is>
      </c>
      <c r="H397" s="2" t="inlineStr">
        <is>
          <t>si</t>
        </is>
      </c>
    </row>
    <row r="398">
      <c r="A398" t="inlineStr">
        <is>
          <t>LU0144751095</t>
        </is>
      </c>
      <c r="B398" t="inlineStr">
        <is>
          <t>LU0144751095.EUFUND</t>
        </is>
      </c>
      <c r="C398" t="inlineStr">
        <is>
          <t>FUND</t>
        </is>
      </c>
      <c r="D398" t="inlineStr">
        <is>
          <t>FIXED_INCOME</t>
        </is>
      </c>
      <c r="E398" t="inlineStr">
        <is>
          <t>fondos-bonos</t>
        </is>
      </c>
      <c r="F398" t="inlineStr">
        <is>
          <t>Candriam Bonds Euro High Yield Class N EUR Cap</t>
        </is>
      </c>
      <c r="G398" t="inlineStr">
        <is>
          <t>EUR</t>
        </is>
      </c>
      <c r="H398" s="2" t="inlineStr">
        <is>
          <t>si</t>
        </is>
      </c>
    </row>
    <row r="399">
      <c r="A399" t="inlineStr">
        <is>
          <t>LU1838941372</t>
        </is>
      </c>
      <c r="B399" t="inlineStr">
        <is>
          <t>LU1838941372.EUFUND</t>
        </is>
      </c>
      <c r="C399" t="inlineStr">
        <is>
          <t>FUND</t>
        </is>
      </c>
      <c r="D399" t="inlineStr">
        <is>
          <t>FIXED_INCOME</t>
        </is>
      </c>
      <c r="E399" t="inlineStr">
        <is>
          <t>fondos-bonos</t>
        </is>
      </c>
      <c r="F399" t="inlineStr">
        <is>
          <t>Candriam Bonds Floating Rate Notes C EUR Cap</t>
        </is>
      </c>
      <c r="G399" t="inlineStr">
        <is>
          <t>EUR</t>
        </is>
      </c>
      <c r="H399" s="2" t="inlineStr">
        <is>
          <t>si</t>
        </is>
      </c>
    </row>
    <row r="400">
      <c r="A400" t="inlineStr">
        <is>
          <t>LU0170293632</t>
        </is>
      </c>
      <c r="B400" t="inlineStr">
        <is>
          <t>LU0170293632.EUFUND</t>
        </is>
      </c>
      <c r="C400" t="inlineStr">
        <is>
          <t>FUND</t>
        </is>
      </c>
      <c r="D400" t="inlineStr">
        <is>
          <t>FIXED_INCOME</t>
        </is>
      </c>
      <c r="E400" t="inlineStr">
        <is>
          <t>fondos-bonos</t>
        </is>
      </c>
      <c r="F400" t="inlineStr">
        <is>
          <t>Candriam Bonds Global High Yield Class N EUR Cap</t>
        </is>
      </c>
      <c r="G400" t="inlineStr">
        <is>
          <t>EUR</t>
        </is>
      </c>
      <c r="H400" s="2" t="inlineStr">
        <is>
          <t>si</t>
        </is>
      </c>
    </row>
    <row r="401">
      <c r="A401" t="inlineStr">
        <is>
          <t>LU0165520114</t>
        </is>
      </c>
      <c r="B401" t="inlineStr">
        <is>
          <t>LU0165520114.EUFUND</t>
        </is>
      </c>
      <c r="C401" t="inlineStr">
        <is>
          <t>FUND</t>
        </is>
      </c>
      <c r="D401" t="inlineStr">
        <is>
          <t>FIXED_INCOME</t>
        </is>
      </c>
      <c r="E401" t="inlineStr">
        <is>
          <t>fondos-bonos</t>
        </is>
      </c>
      <c r="F401" t="inlineStr">
        <is>
          <t>Candriam Bonds Global Inflation Short Duration Class C EUR Cap</t>
        </is>
      </c>
      <c r="G401" t="inlineStr">
        <is>
          <t>EUR</t>
        </is>
      </c>
      <c r="H401" s="2" t="inlineStr">
        <is>
          <t>si</t>
        </is>
      </c>
    </row>
    <row r="402">
      <c r="A402" t="inlineStr">
        <is>
          <t>LU1623762843</t>
        </is>
      </c>
      <c r="B402" t="inlineStr">
        <is>
          <t>LU1623762843.EUFUND</t>
        </is>
      </c>
      <c r="C402" t="inlineStr">
        <is>
          <t>FUND</t>
        </is>
      </c>
      <c r="D402" t="inlineStr">
        <is>
          <t>FIXED_INCOME</t>
        </is>
      </c>
      <c r="E402" t="inlineStr">
        <is>
          <t>fondos-bonos</t>
        </is>
      </c>
      <c r="F402" t="inlineStr">
        <is>
          <t>Carmignac Pf Credit A EUR Acc</t>
        </is>
      </c>
      <c r="G402" t="inlineStr">
        <is>
          <t>EUR</t>
        </is>
      </c>
      <c r="H402" s="2" t="inlineStr">
        <is>
          <t>si</t>
        </is>
      </c>
    </row>
    <row r="403">
      <c r="A403" t="inlineStr">
        <is>
          <t>LU0336084032</t>
        </is>
      </c>
      <c r="B403" t="inlineStr">
        <is>
          <t>LU0336084032.EUFUND</t>
        </is>
      </c>
      <c r="C403" t="inlineStr">
        <is>
          <t>FUND</t>
        </is>
      </c>
      <c r="D403" t="inlineStr">
        <is>
          <t>FIXED_INCOME</t>
        </is>
      </c>
      <c r="E403" t="inlineStr">
        <is>
          <t>fondos-bonos</t>
        </is>
      </c>
      <c r="F403" t="inlineStr">
        <is>
          <t>Carmignac Pf Flexible Bond A EUR Acc</t>
        </is>
      </c>
      <c r="G403" t="inlineStr">
        <is>
          <t>EUR</t>
        </is>
      </c>
      <c r="H403" s="2" t="inlineStr">
        <is>
          <t>si</t>
        </is>
      </c>
    </row>
    <row r="404">
      <c r="A404" t="inlineStr">
        <is>
          <t>LU1299306321</t>
        </is>
      </c>
      <c r="B404" t="inlineStr">
        <is>
          <t>LU1299306321.EUFUND</t>
        </is>
      </c>
      <c r="C404" t="inlineStr">
        <is>
          <t>FUND</t>
        </is>
      </c>
      <c r="D404" t="inlineStr">
        <is>
          <t>FIXED_INCOME</t>
        </is>
      </c>
      <c r="E404" t="inlineStr">
        <is>
          <t>fondos-bonos</t>
        </is>
      </c>
      <c r="F404" t="inlineStr">
        <is>
          <t>Carmignac Portfolio Sécurité AW EUR Acc</t>
        </is>
      </c>
      <c r="G404" t="inlineStr">
        <is>
          <t>EUR</t>
        </is>
      </c>
      <c r="H404" s="2" t="inlineStr">
        <is>
          <t>si</t>
        </is>
      </c>
    </row>
    <row r="405">
      <c r="A405" t="inlineStr">
        <is>
          <t>FR0010149120</t>
        </is>
      </c>
      <c r="B405" t="inlineStr">
        <is>
          <t>FR0010149120.EUFUND</t>
        </is>
      </c>
      <c r="C405" t="inlineStr">
        <is>
          <t>FUND</t>
        </is>
      </c>
      <c r="D405" t="inlineStr">
        <is>
          <t>FIXED_INCOME</t>
        </is>
      </c>
      <c r="E405" t="inlineStr">
        <is>
          <t>fondos-bonos</t>
        </is>
      </c>
      <c r="F405" t="inlineStr">
        <is>
          <t>Carmignac Sécurité AW EUR Acc</t>
        </is>
      </c>
      <c r="G405" t="inlineStr">
        <is>
          <t>EUR</t>
        </is>
      </c>
      <c r="H405" s="2" t="inlineStr">
        <is>
          <t>si</t>
        </is>
      </c>
    </row>
    <row r="406">
      <c r="A406" t="inlineStr">
        <is>
          <t>ES0116419005</t>
        </is>
      </c>
      <c r="B406" t="inlineStr">
        <is>
          <t>ES0116419005.EUFUND</t>
        </is>
      </c>
      <c r="C406" t="inlineStr">
        <is>
          <t>FUND</t>
        </is>
      </c>
      <c r="D406" t="inlineStr">
        <is>
          <t>FIXED_INCOME</t>
        </is>
      </c>
      <c r="E406" t="inlineStr">
        <is>
          <t>fondos-bonos</t>
        </is>
      </c>
      <c r="F406" t="inlineStr">
        <is>
          <t>CARTERA RENTA FIJA HORIZONTE 2026 FI</t>
        </is>
      </c>
      <c r="G406" t="inlineStr">
        <is>
          <t>EUR</t>
        </is>
      </c>
      <c r="H406" s="2" t="inlineStr">
        <is>
          <t>si</t>
        </is>
      </c>
    </row>
    <row r="407">
      <c r="A407" t="inlineStr">
        <is>
          <t>ES0162295002</t>
        </is>
      </c>
      <c r="B407" t="inlineStr">
        <is>
          <t>ES0162295002.EUFUND</t>
        </is>
      </c>
      <c r="C407" t="inlineStr">
        <is>
          <t>FUND</t>
        </is>
      </c>
      <c r="D407" t="inlineStr">
        <is>
          <t>FIXED_INCOME</t>
        </is>
      </c>
      <c r="E407" t="inlineStr">
        <is>
          <t>fondos-bonos</t>
        </is>
      </c>
      <c r="F407" t="inlineStr">
        <is>
          <t>CARTERA RENTA FIJA HORIZONTE 2027  FI</t>
        </is>
      </c>
      <c r="G407" t="inlineStr">
        <is>
          <t>EUR</t>
        </is>
      </c>
      <c r="H407" s="2" t="inlineStr">
        <is>
          <t>si</t>
        </is>
      </c>
    </row>
    <row r="408">
      <c r="A408" t="inlineStr">
        <is>
          <t>ES0162296000</t>
        </is>
      </c>
      <c r="B408" t="inlineStr">
        <is>
          <t>ES0162296000.EUFUND</t>
        </is>
      </c>
      <c r="C408" t="inlineStr">
        <is>
          <t>FUND</t>
        </is>
      </c>
      <c r="D408" t="inlineStr">
        <is>
          <t>FIXED_INCOME</t>
        </is>
      </c>
      <c r="E408" t="inlineStr">
        <is>
          <t>fondos-bonos</t>
        </is>
      </c>
      <c r="F408" t="inlineStr">
        <is>
          <t>CARTERA RENTA FIJA HORIZONTE 2028  FI</t>
        </is>
      </c>
      <c r="G408" t="inlineStr">
        <is>
          <t>EUR</t>
        </is>
      </c>
      <c r="H408" s="2" t="inlineStr">
        <is>
          <t>si</t>
        </is>
      </c>
    </row>
    <row r="409">
      <c r="A409" t="inlineStr">
        <is>
          <t>LU1902444584</t>
        </is>
      </c>
      <c r="B409" t="inlineStr">
        <is>
          <t>LU1902444584.EUFUND</t>
        </is>
      </c>
      <c r="C409" t="inlineStr">
        <is>
          <t>FUND</t>
        </is>
      </c>
      <c r="D409" t="inlineStr">
        <is>
          <t>FIXED_INCOME</t>
        </is>
      </c>
      <c r="E409" t="inlineStr">
        <is>
          <t>fondos-bonos</t>
        </is>
      </c>
      <c r="F409" t="inlineStr">
        <is>
          <t>CPR Invest - Climate Bonds Euro - A EUR - Acc</t>
        </is>
      </c>
      <c r="G409" t="inlineStr">
        <is>
          <t>EUR</t>
        </is>
      </c>
      <c r="H409" s="2" t="inlineStr">
        <is>
          <t>si</t>
        </is>
      </c>
    </row>
    <row r="410">
      <c r="A410" t="inlineStr">
        <is>
          <t>LU0607225447</t>
        </is>
      </c>
      <c r="B410" t="inlineStr">
        <is>
          <t>LU0607225447.EUFUND</t>
        </is>
      </c>
      <c r="C410" t="inlineStr">
        <is>
          <t>FUND</t>
        </is>
      </c>
      <c r="D410" t="inlineStr">
        <is>
          <t>FIXED_INCOME</t>
        </is>
      </c>
      <c r="E410" t="inlineStr">
        <is>
          <t>fondos-bonos</t>
        </is>
      </c>
      <c r="F410" t="inlineStr">
        <is>
          <t>CT (Lux) Global Convertible Bond Fund A Acc EUR Hdg</t>
        </is>
      </c>
      <c r="G410" t="inlineStr">
        <is>
          <t>EUR</t>
        </is>
      </c>
      <c r="H410" s="2" t="inlineStr">
        <is>
          <t>si</t>
        </is>
      </c>
    </row>
    <row r="411">
      <c r="A411" t="inlineStr">
        <is>
          <t>LU1694789451</t>
        </is>
      </c>
      <c r="B411" t="inlineStr">
        <is>
          <t>LU1694789451.EUFUND</t>
        </is>
      </c>
      <c r="C411" t="inlineStr">
        <is>
          <t>FUND</t>
        </is>
      </c>
      <c r="D411" t="inlineStr">
        <is>
          <t>FIXED_INCOME</t>
        </is>
      </c>
      <c r="E411" t="inlineStr">
        <is>
          <t>fondos-bonos</t>
        </is>
      </c>
      <c r="F411" t="inlineStr">
        <is>
          <t>DNCA Invest Alpha Bonds A EUR</t>
        </is>
      </c>
      <c r="G411" t="inlineStr">
        <is>
          <t>EUR</t>
        </is>
      </c>
      <c r="H411" s="2" t="inlineStr">
        <is>
          <t>si</t>
        </is>
      </c>
    </row>
    <row r="412">
      <c r="A412" t="inlineStr">
        <is>
          <t>BE0943877671</t>
        </is>
      </c>
      <c r="B412" t="inlineStr">
        <is>
          <t>BE0943877671.EUFUND</t>
        </is>
      </c>
      <c r="C412" t="inlineStr">
        <is>
          <t>FUND</t>
        </is>
      </c>
      <c r="D412" t="inlineStr">
        <is>
          <t>FIXED_INCOME</t>
        </is>
      </c>
      <c r="E412" t="inlineStr">
        <is>
          <t>fondos-bonos</t>
        </is>
      </c>
      <c r="F412" t="inlineStr">
        <is>
          <t>DPAM B - Bonds Eur Government B Cap</t>
        </is>
      </c>
      <c r="G412" t="inlineStr">
        <is>
          <t>EUR</t>
        </is>
      </c>
      <c r="H412" s="2" t="inlineStr">
        <is>
          <t>si</t>
        </is>
      </c>
    </row>
    <row r="413">
      <c r="A413" t="inlineStr">
        <is>
          <t>LU0080237943</t>
        </is>
      </c>
      <c r="B413" t="inlineStr">
        <is>
          <t>LU0080237943.EUFUND</t>
        </is>
      </c>
      <c r="C413" t="inlineStr">
        <is>
          <t>FUND</t>
        </is>
      </c>
      <c r="D413" t="inlineStr">
        <is>
          <t>FIXED_INCOME</t>
        </is>
      </c>
      <c r="E413" t="inlineStr">
        <is>
          <t>fondos-bonos</t>
        </is>
      </c>
      <c r="F413" t="inlineStr">
        <is>
          <t>DWS Euro Ultra Short Fixed Income Fund NC</t>
        </is>
      </c>
      <c r="G413" t="inlineStr">
        <is>
          <t>EUR</t>
        </is>
      </c>
      <c r="H413" s="2" t="inlineStr">
        <is>
          <t>si</t>
        </is>
      </c>
    </row>
    <row r="414">
      <c r="A414" t="inlineStr">
        <is>
          <t>LU0034353002</t>
        </is>
      </c>
      <c r="B414" t="inlineStr">
        <is>
          <t>LU0034353002.EUFUND</t>
        </is>
      </c>
      <c r="C414" t="inlineStr">
        <is>
          <t>FUND</t>
        </is>
      </c>
      <c r="D414" t="inlineStr">
        <is>
          <t>FIXED_INCOME</t>
        </is>
      </c>
      <c r="E414" t="inlineStr">
        <is>
          <t>fondos-bonos</t>
        </is>
      </c>
      <c r="F414" t="inlineStr">
        <is>
          <t>DWS Floating Rate Notes LC</t>
        </is>
      </c>
      <c r="G414" t="inlineStr">
        <is>
          <t>EUR</t>
        </is>
      </c>
      <c r="H414" s="2" t="inlineStr">
        <is>
          <t>si</t>
        </is>
      </c>
    </row>
    <row r="415">
      <c r="A415" t="inlineStr">
        <is>
          <t>LU1982200609</t>
        </is>
      </c>
      <c r="B415" t="inlineStr">
        <is>
          <t>LU1982200609.EUFUND</t>
        </is>
      </c>
      <c r="C415" t="inlineStr">
        <is>
          <t>FUND</t>
        </is>
      </c>
      <c r="D415" t="inlineStr">
        <is>
          <t>FIXED_INCOME</t>
        </is>
      </c>
      <c r="E415" t="inlineStr">
        <is>
          <t>fondos-bonos</t>
        </is>
      </c>
      <c r="F415" t="inlineStr">
        <is>
          <t>DWS Invest Corporate Green Bonds LC</t>
        </is>
      </c>
      <c r="G415" t="inlineStr">
        <is>
          <t>EUR</t>
        </is>
      </c>
      <c r="H415" s="2" t="inlineStr">
        <is>
          <t>si</t>
        </is>
      </c>
    </row>
    <row r="416">
      <c r="A416" t="inlineStr">
        <is>
          <t>LU0145656715</t>
        </is>
      </c>
      <c r="B416" t="inlineStr">
        <is>
          <t>LU0145656715.EUFUND</t>
        </is>
      </c>
      <c r="C416" t="inlineStr">
        <is>
          <t>FUND</t>
        </is>
      </c>
      <c r="D416" t="inlineStr">
        <is>
          <t>FIXED_INCOME</t>
        </is>
      </c>
      <c r="E416" t="inlineStr">
        <is>
          <t>fondos-bonos</t>
        </is>
      </c>
      <c r="F416" t="inlineStr">
        <is>
          <t>DWS Invest ESG Euro Bonds (Short) NC</t>
        </is>
      </c>
      <c r="G416" t="inlineStr">
        <is>
          <t>EUR</t>
        </is>
      </c>
      <c r="H416" s="2" t="inlineStr">
        <is>
          <t>si</t>
        </is>
      </c>
    </row>
    <row r="417">
      <c r="A417" t="inlineStr">
        <is>
          <t>LU1965927921</t>
        </is>
      </c>
      <c r="B417" t="inlineStr">
        <is>
          <t>LU1965927921.EUFUND</t>
        </is>
      </c>
      <c r="C417" t="inlineStr">
        <is>
          <t>FUND</t>
        </is>
      </c>
      <c r="D417" t="inlineStr">
        <is>
          <t>FIXED_INCOME</t>
        </is>
      </c>
      <c r="E417" t="inlineStr">
        <is>
          <t>fondos-bonos</t>
        </is>
      </c>
      <c r="F417" t="inlineStr">
        <is>
          <t>DWS Invest ESG Floating Rate Notes LC</t>
        </is>
      </c>
      <c r="G417" t="inlineStr">
        <is>
          <t>EUR</t>
        </is>
      </c>
      <c r="H417" s="2" t="inlineStr">
        <is>
          <t>si</t>
        </is>
      </c>
    </row>
    <row r="418">
      <c r="A418" t="inlineStr">
        <is>
          <t>LU0616839501</t>
        </is>
      </c>
      <c r="B418" t="inlineStr">
        <is>
          <t>LU0616839501.EUFUND</t>
        </is>
      </c>
      <c r="C418" t="inlineStr">
        <is>
          <t>FUND</t>
        </is>
      </c>
      <c r="D418" t="inlineStr">
        <is>
          <t>FIXED_INCOME</t>
        </is>
      </c>
      <c r="E418" t="inlineStr">
        <is>
          <t>fondos-bonos</t>
        </is>
      </c>
      <c r="F418" t="inlineStr">
        <is>
          <t>DWS Invest Euro High Yield Corporates LC</t>
        </is>
      </c>
      <c r="G418" t="inlineStr">
        <is>
          <t>EUR</t>
        </is>
      </c>
      <c r="H418" s="2" t="inlineStr">
        <is>
          <t>si</t>
        </is>
      </c>
    </row>
    <row r="419">
      <c r="A419" t="inlineStr">
        <is>
          <t>FR0010839282</t>
        </is>
      </c>
      <c r="B419" t="inlineStr">
        <is>
          <t>FR0010839282.EUFUND</t>
        </is>
      </c>
      <c r="C419" t="inlineStr">
        <is>
          <t>FUND</t>
        </is>
      </c>
      <c r="D419" t="inlineStr">
        <is>
          <t>FIXED_INCOME</t>
        </is>
      </c>
      <c r="E419" t="inlineStr">
        <is>
          <t>fondos-bonos</t>
        </is>
      </c>
      <c r="F419" t="inlineStr">
        <is>
          <t>Echiquier Short Term Credit SRI A</t>
        </is>
      </c>
      <c r="G419" t="inlineStr">
        <is>
          <t>EUR</t>
        </is>
      </c>
      <c r="H419" s="2" t="inlineStr">
        <is>
          <t>si</t>
        </is>
      </c>
    </row>
    <row r="420">
      <c r="A420" t="inlineStr">
        <is>
          <t>ES0127795005</t>
        </is>
      </c>
      <c r="B420" t="inlineStr">
        <is>
          <t>ES0127795005.EUFUND</t>
        </is>
      </c>
      <c r="C420" t="inlineStr">
        <is>
          <t>FUND</t>
        </is>
      </c>
      <c r="D420" t="inlineStr">
        <is>
          <t>FIXED_INCOME</t>
        </is>
      </c>
      <c r="E420" t="inlineStr">
        <is>
          <t>fondos-bonos</t>
        </is>
      </c>
      <c r="F420" t="inlineStr">
        <is>
          <t>EDM RENTA  FI</t>
        </is>
      </c>
      <c r="G420" t="inlineStr">
        <is>
          <t>EUR</t>
        </is>
      </c>
      <c r="H420" s="2" t="inlineStr">
        <is>
          <t>si</t>
        </is>
      </c>
    </row>
    <row r="421">
      <c r="A421" t="inlineStr">
        <is>
          <t>ES0168673038</t>
        </is>
      </c>
      <c r="B421" t="inlineStr">
        <is>
          <t>ES0168673038.EUFUND</t>
        </is>
      </c>
      <c r="C421" t="inlineStr">
        <is>
          <t>FUND</t>
        </is>
      </c>
      <c r="D421" t="inlineStr">
        <is>
          <t>FIXED_INCOME</t>
        </is>
      </c>
      <c r="E421" t="inlineStr">
        <is>
          <t>fondos-bonos</t>
        </is>
      </c>
      <c r="F421" t="inlineStr">
        <is>
          <t>EDM-AHORRO  FI</t>
        </is>
      </c>
      <c r="G421" t="inlineStr">
        <is>
          <t>EUR</t>
        </is>
      </c>
      <c r="H421" s="2" t="inlineStr">
        <is>
          <t>si</t>
        </is>
      </c>
    </row>
    <row r="422">
      <c r="A422" t="inlineStr">
        <is>
          <t>LU1161526576</t>
        </is>
      </c>
      <c r="B422" t="inlineStr">
        <is>
          <t>LU1161526576.EUFUND</t>
        </is>
      </c>
      <c r="C422" t="inlineStr">
        <is>
          <t>FUND</t>
        </is>
      </c>
      <c r="D422" t="inlineStr">
        <is>
          <t>FIXED_INCOME</t>
        </is>
      </c>
      <c r="E422" t="inlineStr">
        <is>
          <t>fondos-bonos</t>
        </is>
      </c>
      <c r="F422" t="inlineStr">
        <is>
          <t>Edmond de Rothschild Fund - Bond Allocation R EUR Acc</t>
        </is>
      </c>
      <c r="G422" t="inlineStr">
        <is>
          <t>EUR</t>
        </is>
      </c>
      <c r="H422" s="2" t="inlineStr">
        <is>
          <t>si</t>
        </is>
      </c>
    </row>
    <row r="423">
      <c r="A423" t="inlineStr">
        <is>
          <t>LU1080015693</t>
        </is>
      </c>
      <c r="B423" t="inlineStr">
        <is>
          <t>LU1080015693.EUFUND</t>
        </is>
      </c>
      <c r="C423" t="inlineStr">
        <is>
          <t>FUND</t>
        </is>
      </c>
      <c r="D423" t="inlineStr">
        <is>
          <t>FIXED_INCOME</t>
        </is>
      </c>
      <c r="E423" t="inlineStr">
        <is>
          <t>fondos-bonos</t>
        </is>
      </c>
      <c r="F423" t="inlineStr">
        <is>
          <t>Edmond de Rothschild Fund - Emerging Credit A EUR Hedged</t>
        </is>
      </c>
      <c r="G423" t="inlineStr">
        <is>
          <t>EUR</t>
        </is>
      </c>
      <c r="H423" s="2" t="inlineStr">
        <is>
          <t>si</t>
        </is>
      </c>
    </row>
    <row r="424">
      <c r="A424" t="inlineStr">
        <is>
          <t>FR0010172767</t>
        </is>
      </c>
      <c r="B424" t="inlineStr">
        <is>
          <t>FR0010172767.EUFUND</t>
        </is>
      </c>
      <c r="C424" t="inlineStr">
        <is>
          <t>FUND</t>
        </is>
      </c>
      <c r="D424" t="inlineStr">
        <is>
          <t>FIXED_INCOME</t>
        </is>
      </c>
      <c r="E424" t="inlineStr">
        <is>
          <t>fondos-bonos</t>
        </is>
      </c>
      <c r="F424" t="inlineStr">
        <is>
          <t>EdR SICAV - Euro Sustainable Credit A EUR</t>
        </is>
      </c>
      <c r="G424" t="inlineStr">
        <is>
          <t>EUR</t>
        </is>
      </c>
      <c r="H424" s="2" t="inlineStr">
        <is>
          <t>si</t>
        </is>
      </c>
    </row>
    <row r="425">
      <c r="A425" t="inlineStr">
        <is>
          <t>FR0013201001</t>
        </is>
      </c>
      <c r="B425" t="inlineStr">
        <is>
          <t>FR0013201001.EUFUND</t>
        </is>
      </c>
      <c r="C425" t="inlineStr">
        <is>
          <t>FUND</t>
        </is>
      </c>
      <c r="D425" t="inlineStr">
        <is>
          <t>FIXED_INCOME</t>
        </is>
      </c>
      <c r="E425" t="inlineStr">
        <is>
          <t>fondos-bonos</t>
        </is>
      </c>
      <c r="F425" t="inlineStr">
        <is>
          <t>EdR SICAV - Euro Sustainable Credit R EUR</t>
        </is>
      </c>
      <c r="G425" t="inlineStr">
        <is>
          <t>EUR</t>
        </is>
      </c>
      <c r="H425" s="2" t="inlineStr">
        <is>
          <t>si</t>
        </is>
      </c>
    </row>
    <row r="426">
      <c r="A426" t="inlineStr">
        <is>
          <t>FR0014008W22</t>
        </is>
      </c>
      <c r="B426" t="inlineStr">
        <is>
          <t>FR0014008W22.EUFUND</t>
        </is>
      </c>
      <c r="C426" t="inlineStr">
        <is>
          <t>FUND</t>
        </is>
      </c>
      <c r="D426" t="inlineStr">
        <is>
          <t>FIXED_INCOME</t>
        </is>
      </c>
      <c r="E426" t="inlineStr">
        <is>
          <t>fondos-bonos</t>
        </is>
      </c>
      <c r="F426" t="inlineStr">
        <is>
          <t>EdR SICAV - Millesima World 2028 A EUR</t>
        </is>
      </c>
      <c r="G426" t="inlineStr">
        <is>
          <t>EUR</t>
        </is>
      </c>
      <c r="H426" s="2" t="inlineStr">
        <is>
          <t>si</t>
        </is>
      </c>
    </row>
    <row r="427">
      <c r="A427" t="inlineStr">
        <is>
          <t>FR0013460920</t>
        </is>
      </c>
      <c r="B427" t="inlineStr">
        <is>
          <t>FR0013460920.EUFUND</t>
        </is>
      </c>
      <c r="C427" t="inlineStr">
        <is>
          <t>FUND</t>
        </is>
      </c>
      <c r="D427" t="inlineStr">
        <is>
          <t>FIXED_INCOME</t>
        </is>
      </c>
      <c r="E427" t="inlineStr">
        <is>
          <t>fondos-bonos</t>
        </is>
      </c>
      <c r="F427" t="inlineStr">
        <is>
          <t>EdR SICAV - Short Duration Credit A EUR</t>
        </is>
      </c>
      <c r="G427" t="inlineStr">
        <is>
          <t>EUR</t>
        </is>
      </c>
      <c r="H427" s="2" t="inlineStr">
        <is>
          <t>si</t>
        </is>
      </c>
    </row>
    <row r="428">
      <c r="A428" t="inlineStr">
        <is>
          <t>FR0013460961</t>
        </is>
      </c>
      <c r="B428" t="inlineStr">
        <is>
          <t>FR0013460961.EUFUND</t>
        </is>
      </c>
      <c r="C428" t="inlineStr">
        <is>
          <t>FUND</t>
        </is>
      </c>
      <c r="D428" t="inlineStr">
        <is>
          <t>FIXED_INCOME</t>
        </is>
      </c>
      <c r="E428" t="inlineStr">
        <is>
          <t>fondos-bonos</t>
        </is>
      </c>
      <c r="F428" t="inlineStr">
        <is>
          <t>EdR SICAV - Short Duration Credit B EUR</t>
        </is>
      </c>
      <c r="G428" t="inlineStr">
        <is>
          <t>EUR</t>
        </is>
      </c>
      <c r="H428" s="2" t="inlineStr">
        <is>
          <t>si</t>
        </is>
      </c>
    </row>
    <row r="429">
      <c r="A429" t="inlineStr">
        <is>
          <t>FR001400JGB5</t>
        </is>
      </c>
      <c r="B429" t="inlineStr">
        <is>
          <t>FR001400JGB5.EUFUND</t>
        </is>
      </c>
      <c r="C429" t="inlineStr">
        <is>
          <t>FUND</t>
        </is>
      </c>
      <c r="D429" t="inlineStr">
        <is>
          <t>FIXED_INCOME</t>
        </is>
      </c>
      <c r="E429" t="inlineStr">
        <is>
          <t>fondos-bonos</t>
        </is>
      </c>
      <c r="F429" t="inlineStr">
        <is>
          <t>EdR SICAV Millesima Select 2028 A Eur</t>
        </is>
      </c>
      <c r="G429" t="inlineStr">
        <is>
          <t>EUR</t>
        </is>
      </c>
      <c r="H429" s="2" t="inlineStr">
        <is>
          <t>si</t>
        </is>
      </c>
    </row>
    <row r="430">
      <c r="A430" t="inlineStr">
        <is>
          <t>LU1529955046</t>
        </is>
      </c>
      <c r="B430" t="inlineStr">
        <is>
          <t>LU1529955046.EUFUND</t>
        </is>
      </c>
      <c r="C430" t="inlineStr">
        <is>
          <t>FUND</t>
        </is>
      </c>
      <c r="D430" t="inlineStr">
        <is>
          <t>FIXED_INCOME</t>
        </is>
      </c>
      <c r="E430" t="inlineStr">
        <is>
          <t>fondos-bonos</t>
        </is>
      </c>
      <c r="F430" t="inlineStr">
        <is>
          <t>Eurizon Fund - Bond Aggregate RMB Class R EUR Acc</t>
        </is>
      </c>
      <c r="G430" t="inlineStr">
        <is>
          <t>EUR</t>
        </is>
      </c>
      <c r="H430" s="2" t="inlineStr">
        <is>
          <t>si</t>
        </is>
      </c>
    </row>
    <row r="431">
      <c r="A431" t="inlineStr">
        <is>
          <t>LU2482630162</t>
        </is>
      </c>
      <c r="B431" t="inlineStr">
        <is>
          <t>LU2482630162.EUFUND</t>
        </is>
      </c>
      <c r="C431" t="inlineStr">
        <is>
          <t>FUND</t>
        </is>
      </c>
      <c r="D431" t="inlineStr">
        <is>
          <t>FIXED_INCOME</t>
        </is>
      </c>
      <c r="E431" t="inlineStr">
        <is>
          <t>fondos-bonos</t>
        </is>
      </c>
      <c r="F431" t="inlineStr">
        <is>
          <t>European Specialist Investment Funds - M&amp;G European Credit Investment Fund Class P EUR Acc</t>
        </is>
      </c>
      <c r="G431" t="inlineStr">
        <is>
          <t>EUR</t>
        </is>
      </c>
      <c r="H431" s="2" t="inlineStr">
        <is>
          <t>si</t>
        </is>
      </c>
    </row>
    <row r="432">
      <c r="A432" t="inlineStr">
        <is>
          <t>FI0008801097</t>
        </is>
      </c>
      <c r="B432" t="inlineStr">
        <is>
          <t>FI0008801097.EUFUND</t>
        </is>
      </c>
      <c r="C432" t="inlineStr">
        <is>
          <t>FUND</t>
        </is>
      </c>
      <c r="D432" t="inlineStr">
        <is>
          <t>FIXED_INCOME</t>
        </is>
      </c>
      <c r="E432" t="inlineStr">
        <is>
          <t>fondos-bonos</t>
        </is>
      </c>
      <c r="F432" t="inlineStr">
        <is>
          <t>Evli Corporate Bond B</t>
        </is>
      </c>
      <c r="G432" t="inlineStr">
        <is>
          <t>EUR</t>
        </is>
      </c>
      <c r="H432" s="2" t="inlineStr">
        <is>
          <t>si</t>
        </is>
      </c>
    </row>
    <row r="433">
      <c r="A433" t="inlineStr">
        <is>
          <t>FI0008804463</t>
        </is>
      </c>
      <c r="B433" t="inlineStr">
        <is>
          <t>FI0008804463.EUFUND</t>
        </is>
      </c>
      <c r="C433" t="inlineStr">
        <is>
          <t>FUND</t>
        </is>
      </c>
      <c r="D433" t="inlineStr">
        <is>
          <t>FIXED_INCOME</t>
        </is>
      </c>
      <c r="E433" t="inlineStr">
        <is>
          <t>fondos-bonos</t>
        </is>
      </c>
      <c r="F433" t="inlineStr">
        <is>
          <t>Evli Euro Liquidity B</t>
        </is>
      </c>
      <c r="G433" t="inlineStr">
        <is>
          <t>EUR</t>
        </is>
      </c>
      <c r="H433" s="2" t="inlineStr">
        <is>
          <t>si</t>
        </is>
      </c>
    </row>
    <row r="434">
      <c r="A434" t="inlineStr">
        <is>
          <t>FI0008803929</t>
        </is>
      </c>
      <c r="B434" t="inlineStr">
        <is>
          <t>FI0008803929.EUFUND</t>
        </is>
      </c>
      <c r="C434" t="inlineStr">
        <is>
          <t>FUND</t>
        </is>
      </c>
      <c r="D434" t="inlineStr">
        <is>
          <t>FIXED_INCOME</t>
        </is>
      </c>
      <c r="E434" t="inlineStr">
        <is>
          <t>fondos-bonos</t>
        </is>
      </c>
      <c r="F434" t="inlineStr">
        <is>
          <t>Evli European High Yield B</t>
        </is>
      </c>
      <c r="G434" t="inlineStr">
        <is>
          <t>EUR</t>
        </is>
      </c>
      <c r="H434" s="2" t="inlineStr">
        <is>
          <t>si</t>
        </is>
      </c>
    </row>
    <row r="435">
      <c r="A435" t="inlineStr">
        <is>
          <t>FI0008811997</t>
        </is>
      </c>
      <c r="B435" t="inlineStr">
        <is>
          <t>FI0008811997.EUFUND</t>
        </is>
      </c>
      <c r="C435" t="inlineStr">
        <is>
          <t>FUND</t>
        </is>
      </c>
      <c r="D435" t="inlineStr">
        <is>
          <t>FIXED_INCOME</t>
        </is>
      </c>
      <c r="E435" t="inlineStr">
        <is>
          <t>fondos-bonos</t>
        </is>
      </c>
      <c r="F435" t="inlineStr">
        <is>
          <t>Evli Nordic Corporate Bond B</t>
        </is>
      </c>
      <c r="G435" t="inlineStr">
        <is>
          <t>EUR</t>
        </is>
      </c>
      <c r="H435" s="2" t="inlineStr">
        <is>
          <t>si</t>
        </is>
      </c>
    </row>
    <row r="436">
      <c r="A436" t="inlineStr">
        <is>
          <t>FI0008800511</t>
        </is>
      </c>
      <c r="B436" t="inlineStr">
        <is>
          <t>FI0008800511.EUFUND</t>
        </is>
      </c>
      <c r="C436" t="inlineStr">
        <is>
          <t>FUND</t>
        </is>
      </c>
      <c r="D436" t="inlineStr">
        <is>
          <t>FIXED_INCOME</t>
        </is>
      </c>
      <c r="E436" t="inlineStr">
        <is>
          <t>fondos-bonos</t>
        </is>
      </c>
      <c r="F436" t="inlineStr">
        <is>
          <t>Evli Short Corporate Bond B</t>
        </is>
      </c>
      <c r="G436" t="inlineStr">
        <is>
          <t>EUR</t>
        </is>
      </c>
      <c r="H436" s="2" t="inlineStr">
        <is>
          <t>si</t>
        </is>
      </c>
    </row>
    <row r="437">
      <c r="A437" t="inlineStr">
        <is>
          <t>LU0267388220</t>
        </is>
      </c>
      <c r="B437" t="inlineStr">
        <is>
          <t>LU0267388220.EUFUND</t>
        </is>
      </c>
      <c r="C437" t="inlineStr">
        <is>
          <t>FUND</t>
        </is>
      </c>
      <c r="D437" t="inlineStr">
        <is>
          <t>FIXED_INCOME</t>
        </is>
      </c>
      <c r="E437" t="inlineStr">
        <is>
          <t>fondos-bonos</t>
        </is>
      </c>
      <c r="F437" t="inlineStr">
        <is>
          <t>Fidelity Funds - Euro Short Term Bond Fund A-Acc-EUR</t>
        </is>
      </c>
      <c r="G437" t="inlineStr">
        <is>
          <t>EUR</t>
        </is>
      </c>
      <c r="H437" s="2" t="inlineStr">
        <is>
          <t>si</t>
        </is>
      </c>
    </row>
    <row r="438">
      <c r="A438" t="inlineStr">
        <is>
          <t>LU0353649352</t>
        </is>
      </c>
      <c r="B438" t="inlineStr">
        <is>
          <t>LU0353649352.EUFUND</t>
        </is>
      </c>
      <c r="C438" t="inlineStr">
        <is>
          <t>FUND</t>
        </is>
      </c>
      <c r="D438" t="inlineStr">
        <is>
          <t>FIXED_INCOME</t>
        </is>
      </c>
      <c r="E438" t="inlineStr">
        <is>
          <t>fondos-bonos</t>
        </is>
      </c>
      <c r="F438" t="inlineStr">
        <is>
          <t>Fidelity Funds - Global Inflation-linked Bond Fund E-Acc-EUR (hedged)</t>
        </is>
      </c>
      <c r="G438" t="inlineStr">
        <is>
          <t>EUR</t>
        </is>
      </c>
      <c r="H438" s="2" t="inlineStr">
        <is>
          <t>si</t>
        </is>
      </c>
    </row>
    <row r="439">
      <c r="A439" t="inlineStr">
        <is>
          <t>LU1481583711</t>
        </is>
      </c>
      <c r="B439" t="inlineStr">
        <is>
          <t>LU1481583711.EUFUND</t>
        </is>
      </c>
      <c r="C439" t="inlineStr">
        <is>
          <t>FUND</t>
        </is>
      </c>
      <c r="D439" t="inlineStr">
        <is>
          <t>FIXED_INCOME</t>
        </is>
      </c>
      <c r="E439" t="inlineStr">
        <is>
          <t>fondos-bonos</t>
        </is>
      </c>
      <c r="F439" t="inlineStr">
        <is>
          <t>Flossbach von Storch - Bond Opportunities RT</t>
        </is>
      </c>
      <c r="G439" t="inlineStr">
        <is>
          <t>EUR</t>
        </is>
      </c>
      <c r="H439" s="2" t="inlineStr">
        <is>
          <t>si</t>
        </is>
      </c>
    </row>
    <row r="440">
      <c r="A440" t="inlineStr">
        <is>
          <t>LU1022658667</t>
        </is>
      </c>
      <c r="B440" t="inlineStr">
        <is>
          <t>LU1022658667.EUFUND</t>
        </is>
      </c>
      <c r="C440" t="inlineStr">
        <is>
          <t>FUND</t>
        </is>
      </c>
      <c r="D440" t="inlineStr">
        <is>
          <t>FIXED_INCOME</t>
        </is>
      </c>
      <c r="E440" t="inlineStr">
        <is>
          <t>fondos-bonos</t>
        </is>
      </c>
      <c r="F440" t="inlineStr">
        <is>
          <t>Franklin Euro Short Duration Bond Fund A(acc)EUR</t>
        </is>
      </c>
      <c r="G440" t="inlineStr">
        <is>
          <t>EUR</t>
        </is>
      </c>
      <c r="H440" s="2" t="inlineStr">
        <is>
          <t>si</t>
        </is>
      </c>
    </row>
    <row r="441">
      <c r="A441" t="inlineStr">
        <is>
          <t>LU0170473374</t>
        </is>
      </c>
      <c r="B441" t="inlineStr">
        <is>
          <t>LU0170473374.EUFUND</t>
        </is>
      </c>
      <c r="C441" t="inlineStr">
        <is>
          <t>FUND</t>
        </is>
      </c>
      <c r="D441" t="inlineStr">
        <is>
          <t>FIXED_INCOME</t>
        </is>
      </c>
      <c r="E441" t="inlineStr">
        <is>
          <t>fondos-bonos</t>
        </is>
      </c>
      <c r="F441" t="inlineStr">
        <is>
          <t>Franklin European Total Return Fund A(acc)EUR</t>
        </is>
      </c>
      <c r="G441" t="inlineStr">
        <is>
          <t>EUR</t>
        </is>
      </c>
      <c r="H441" s="2" t="inlineStr">
        <is>
          <t>si</t>
        </is>
      </c>
    </row>
    <row r="442">
      <c r="A442" t="inlineStr">
        <is>
          <t>LU0169250635</t>
        </is>
      </c>
      <c r="B442" t="inlineStr">
        <is>
          <t>LU0169250635.EUFUND</t>
        </is>
      </c>
      <c r="C442" t="inlineStr">
        <is>
          <t>FUND</t>
        </is>
      </c>
      <c r="D442" t="inlineStr">
        <is>
          <t>FIXED_INCOME</t>
        </is>
      </c>
      <c r="E442" t="inlineStr">
        <is>
          <t>fondos-bonos</t>
        </is>
      </c>
      <c r="F442" t="inlineStr">
        <is>
          <t>Generali Investments SICAV - Euro Bond Fund EX</t>
        </is>
      </c>
      <c r="G442" t="inlineStr">
        <is>
          <t>EUR</t>
        </is>
      </c>
      <c r="H442" s="2" t="inlineStr">
        <is>
          <t>si</t>
        </is>
      </c>
    </row>
    <row r="443">
      <c r="A443" t="inlineStr">
        <is>
          <t>ES0138922036</t>
        </is>
      </c>
      <c r="B443" t="inlineStr">
        <is>
          <t>ES0138922036.EUFUND</t>
        </is>
      </c>
      <c r="C443" t="inlineStr">
        <is>
          <t>FUND</t>
        </is>
      </c>
      <c r="D443" t="inlineStr">
        <is>
          <t>FIXED_INCOME</t>
        </is>
      </c>
      <c r="E443" t="inlineStr">
        <is>
          <t>fondos-bonos</t>
        </is>
      </c>
      <c r="F443" t="inlineStr">
        <is>
          <t>GESCONSULT CORTO PLAZO  FI - CLASE A</t>
        </is>
      </c>
      <c r="G443" t="inlineStr">
        <is>
          <t>EUR</t>
        </is>
      </c>
      <c r="H443" s="2" t="inlineStr">
        <is>
          <t>si</t>
        </is>
      </c>
    </row>
    <row r="444">
      <c r="A444" t="inlineStr">
        <is>
          <t>ES0138922002</t>
        </is>
      </c>
      <c r="B444" t="inlineStr">
        <is>
          <t>ES0138922002.EUFUND</t>
        </is>
      </c>
      <c r="C444" t="inlineStr">
        <is>
          <t>FUND</t>
        </is>
      </c>
      <c r="D444" t="inlineStr">
        <is>
          <t>FIXED_INCOME</t>
        </is>
      </c>
      <c r="E444" t="inlineStr">
        <is>
          <t>fondos-bonos</t>
        </is>
      </c>
      <c r="F444" t="inlineStr">
        <is>
          <t>GESCONSULT HORIZONTE 2025  FI</t>
        </is>
      </c>
      <c r="G444" t="inlineStr">
        <is>
          <t>EUR</t>
        </is>
      </c>
      <c r="H444" s="2" t="inlineStr">
        <is>
          <t>si</t>
        </is>
      </c>
    </row>
    <row r="445">
      <c r="A445" t="inlineStr">
        <is>
          <t>ES0140986011</t>
        </is>
      </c>
      <c r="B445" t="inlineStr">
        <is>
          <t>ES0140986011.EUFUND</t>
        </is>
      </c>
      <c r="C445" t="inlineStr">
        <is>
          <t>FUND</t>
        </is>
      </c>
      <c r="D445" t="inlineStr">
        <is>
          <t>FIXED_INCOME</t>
        </is>
      </c>
      <c r="E445" t="inlineStr">
        <is>
          <t>fondos-bonos</t>
        </is>
      </c>
      <c r="F445" t="inlineStr">
        <is>
          <t>GESCONSULT OPORTUNIDAD RENTA FIJA  FI</t>
        </is>
      </c>
      <c r="G445" t="inlineStr">
        <is>
          <t>EUR</t>
        </is>
      </c>
      <c r="H445" s="2" t="inlineStr">
        <is>
          <t>si</t>
        </is>
      </c>
    </row>
    <row r="446">
      <c r="A446" t="inlineStr">
        <is>
          <t>LU0501220429</t>
        </is>
      </c>
      <c r="B446" t="inlineStr">
        <is>
          <t>LU0501220429.EUFUND</t>
        </is>
      </c>
      <c r="C446" t="inlineStr">
        <is>
          <t>FUND</t>
        </is>
      </c>
      <c r="D446" t="inlineStr">
        <is>
          <t>FIXED_INCOME</t>
        </is>
      </c>
      <c r="E446" t="inlineStr">
        <is>
          <t>fondos-bonos</t>
        </is>
      </c>
      <c r="F446" t="inlineStr">
        <is>
          <t>Global Evolution Funds - Frontier Markets R EUR H</t>
        </is>
      </c>
      <c r="G446" t="inlineStr">
        <is>
          <t>EUR</t>
        </is>
      </c>
      <c r="H446" s="2" t="inlineStr">
        <is>
          <t>si</t>
        </is>
      </c>
    </row>
    <row r="447">
      <c r="A447" t="inlineStr">
        <is>
          <t>LU0910636892</t>
        </is>
      </c>
      <c r="B447" t="inlineStr">
        <is>
          <t>LU0910636892.EUFUND</t>
        </is>
      </c>
      <c r="C447" t="inlineStr">
        <is>
          <t>FUND</t>
        </is>
      </c>
      <c r="D447" t="inlineStr">
        <is>
          <t>FIXED_INCOME</t>
        </is>
      </c>
      <c r="E447" t="inlineStr">
        <is>
          <t>fondos-bonos</t>
        </is>
      </c>
      <c r="F447" t="inlineStr">
        <is>
          <t>Goldman Sachs Emerging Markets Debt Blend Portfolio E Acc EUR</t>
        </is>
      </c>
      <c r="G447" t="inlineStr">
        <is>
          <t>EUR</t>
        </is>
      </c>
      <c r="H447" s="2" t="inlineStr">
        <is>
          <t>si</t>
        </is>
      </c>
    </row>
    <row r="448">
      <c r="A448" t="inlineStr">
        <is>
          <t>LU0910636546</t>
        </is>
      </c>
      <c r="B448" t="inlineStr">
        <is>
          <t>LU0910636546.EUFUND</t>
        </is>
      </c>
      <c r="C448" t="inlineStr">
        <is>
          <t>FUND</t>
        </is>
      </c>
      <c r="D448" t="inlineStr">
        <is>
          <t>FIXED_INCOME</t>
        </is>
      </c>
      <c r="E448" t="inlineStr">
        <is>
          <t>fondos-bonos</t>
        </is>
      </c>
      <c r="F448" t="inlineStr">
        <is>
          <t>Goldman Sachs Emerging Markets Debt Blend Portfolio Other Currency Acc EUR</t>
        </is>
      </c>
      <c r="G448" t="inlineStr">
        <is>
          <t>EUR</t>
        </is>
      </c>
      <c r="H448" s="2" t="inlineStr">
        <is>
          <t>si</t>
        </is>
      </c>
    </row>
    <row r="449">
      <c r="A449" t="inlineStr">
        <is>
          <t>LU0546917344</t>
        </is>
      </c>
      <c r="B449" t="inlineStr">
        <is>
          <t>LU0546917344.EUFUND</t>
        </is>
      </c>
      <c r="C449" t="inlineStr">
        <is>
          <t>FUND</t>
        </is>
      </c>
      <c r="D449" t="inlineStr">
        <is>
          <t>FIXED_INCOME</t>
        </is>
      </c>
      <c r="E449" t="inlineStr">
        <is>
          <t>fondos-bonos</t>
        </is>
      </c>
      <c r="F449" t="inlineStr">
        <is>
          <t>Goldman Sachs Euro Long Duration Bond - P Cap EUR</t>
        </is>
      </c>
      <c r="G449" t="inlineStr">
        <is>
          <t>EUR</t>
        </is>
      </c>
      <c r="H449" s="2" t="inlineStr">
        <is>
          <t>si</t>
        </is>
      </c>
    </row>
    <row r="450">
      <c r="A450" t="inlineStr">
        <is>
          <t>LU1061675168</t>
        </is>
      </c>
      <c r="B450" t="inlineStr">
        <is>
          <t>LU1061675168.EUFUND</t>
        </is>
      </c>
      <c r="C450" t="inlineStr">
        <is>
          <t>FUND</t>
        </is>
      </c>
      <c r="D450" t="inlineStr">
        <is>
          <t>FIXED_INCOME</t>
        </is>
      </c>
      <c r="E450" t="inlineStr">
        <is>
          <t>fondos-bonos</t>
        </is>
      </c>
      <c r="F450" t="inlineStr">
        <is>
          <t>Goldman Sachs Frontier Markets Debt (Hard Currency) - X Cap EUR (hedged i)</t>
        </is>
      </c>
      <c r="G450" t="inlineStr">
        <is>
          <t>EUR</t>
        </is>
      </c>
      <c r="H450" s="2" t="inlineStr">
        <is>
          <t>si</t>
        </is>
      </c>
    </row>
    <row r="451">
      <c r="A451" t="inlineStr">
        <is>
          <t>LU0571101558</t>
        </is>
      </c>
      <c r="B451" t="inlineStr">
        <is>
          <t>LU0571101558.EUFUND</t>
        </is>
      </c>
      <c r="C451" t="inlineStr">
        <is>
          <t>FUND</t>
        </is>
      </c>
      <c r="D451" t="inlineStr">
        <is>
          <t>FIXED_INCOME</t>
        </is>
      </c>
      <c r="E451" t="inlineStr">
        <is>
          <t>fondos-bonos</t>
        </is>
      </c>
      <c r="F451" t="inlineStr">
        <is>
          <t>Groupama Euro High Yield NC</t>
        </is>
      </c>
      <c r="G451" t="inlineStr">
        <is>
          <t>EUR</t>
        </is>
      </c>
      <c r="H451" s="2" t="inlineStr">
        <is>
          <t>si</t>
        </is>
      </c>
    </row>
    <row r="452">
      <c r="A452" t="inlineStr">
        <is>
          <t>LU0571100824</t>
        </is>
      </c>
      <c r="B452" t="inlineStr">
        <is>
          <t>LU0571100824.EUFUND</t>
        </is>
      </c>
      <c r="C452" t="inlineStr">
        <is>
          <t>FUND</t>
        </is>
      </c>
      <c r="D452" t="inlineStr">
        <is>
          <t>FIXED_INCOME</t>
        </is>
      </c>
      <c r="E452" t="inlineStr">
        <is>
          <t>fondos-bonos</t>
        </is>
      </c>
      <c r="F452" t="inlineStr">
        <is>
          <t>Groupama Europe Convertible NC</t>
        </is>
      </c>
      <c r="G452" t="inlineStr">
        <is>
          <t>EUR</t>
        </is>
      </c>
      <c r="H452" s="2" t="inlineStr">
        <is>
          <t>si</t>
        </is>
      </c>
    </row>
    <row r="453">
      <c r="A453" t="inlineStr">
        <is>
          <t>LU1717592262</t>
        </is>
      </c>
      <c r="B453" t="inlineStr">
        <is>
          <t>LU1717592262.EUFUND</t>
        </is>
      </c>
      <c r="C453" t="inlineStr">
        <is>
          <t>FUND</t>
        </is>
      </c>
      <c r="D453" t="inlineStr">
        <is>
          <t>FIXED_INCOME</t>
        </is>
      </c>
      <c r="E453" t="inlineStr">
        <is>
          <t>fondos-bonos</t>
        </is>
      </c>
      <c r="F453" t="inlineStr">
        <is>
          <t>Groupama Global Inflation Short Duration NC</t>
        </is>
      </c>
      <c r="G453" t="inlineStr">
        <is>
          <t>EUR</t>
        </is>
      </c>
      <c r="H453" s="2" t="inlineStr">
        <is>
          <t>si</t>
        </is>
      </c>
    </row>
    <row r="454">
      <c r="A454" t="inlineStr">
        <is>
          <t>FR0013346079</t>
        </is>
      </c>
      <c r="B454" t="inlineStr">
        <is>
          <t>FR0013346079.EUFUND</t>
        </is>
      </c>
      <c r="C454" t="inlineStr">
        <is>
          <t>FUND</t>
        </is>
      </c>
      <c r="D454" t="inlineStr">
        <is>
          <t>FIXED_INCOME</t>
        </is>
      </c>
      <c r="E454" t="inlineStr">
        <is>
          <t>fondos-bonos</t>
        </is>
      </c>
      <c r="F454" t="inlineStr">
        <is>
          <t>Groupama Ultra Short Term NC</t>
        </is>
      </c>
      <c r="G454" t="inlineStr">
        <is>
          <t>EUR</t>
        </is>
      </c>
      <c r="H454" s="2" t="inlineStr">
        <is>
          <t>si</t>
        </is>
      </c>
    </row>
    <row r="455">
      <c r="A455" t="inlineStr">
        <is>
          <t>LU0243958393</t>
        </is>
      </c>
      <c r="B455" t="inlineStr">
        <is>
          <t>LU0243958393.EUFUND</t>
        </is>
      </c>
      <c r="C455" t="inlineStr">
        <is>
          <t>FUND</t>
        </is>
      </c>
      <c r="D455" t="inlineStr">
        <is>
          <t>FIXED_INCOME</t>
        </is>
      </c>
      <c r="E455" t="inlineStr">
        <is>
          <t>fondos-bonos</t>
        </is>
      </c>
      <c r="F455" t="inlineStr">
        <is>
          <t>Invesco Funds - Invesco Euro Corporate Bond Fund E Accumulation EUR</t>
        </is>
      </c>
      <c r="G455" t="inlineStr">
        <is>
          <t>EUR</t>
        </is>
      </c>
      <c r="H455" s="2" t="inlineStr">
        <is>
          <t>si</t>
        </is>
      </c>
    </row>
    <row r="456">
      <c r="A456" t="inlineStr">
        <is>
          <t>LU0102737730</t>
        </is>
      </c>
      <c r="B456" t="inlineStr">
        <is>
          <t>LU0102737730.EUFUND</t>
        </is>
      </c>
      <c r="C456" t="inlineStr">
        <is>
          <t>FUND</t>
        </is>
      </c>
      <c r="D456" t="inlineStr">
        <is>
          <t>FIXED_INCOME</t>
        </is>
      </c>
      <c r="E456" t="inlineStr">
        <is>
          <t>fondos-bonos</t>
        </is>
      </c>
      <c r="F456" t="inlineStr">
        <is>
          <t>Invesco Funds - Invesco Euro Ultra-Short Term Debt Fund A Accumulation EUR</t>
        </is>
      </c>
      <c r="G456" t="inlineStr">
        <is>
          <t>EUR</t>
        </is>
      </c>
      <c r="H456" s="2" t="inlineStr">
        <is>
          <t>si</t>
        </is>
      </c>
    </row>
    <row r="457">
      <c r="A457" t="inlineStr">
        <is>
          <t>LU0102737904</t>
        </is>
      </c>
      <c r="B457" t="inlineStr">
        <is>
          <t>LU0102737904.EUFUND</t>
        </is>
      </c>
      <c r="C457" t="inlineStr">
        <is>
          <t>FUND</t>
        </is>
      </c>
      <c r="D457" t="inlineStr">
        <is>
          <t>FIXED_INCOME</t>
        </is>
      </c>
      <c r="E457" t="inlineStr">
        <is>
          <t>fondos-bonos</t>
        </is>
      </c>
      <c r="F457" t="inlineStr">
        <is>
          <t>Invesco Funds - Invesco Euro Ultra-Short Term Debt Fund C Accumulation EUR</t>
        </is>
      </c>
      <c r="G457" t="inlineStr">
        <is>
          <t>EUR</t>
        </is>
      </c>
      <c r="H457" s="2" t="inlineStr">
        <is>
          <t>si</t>
        </is>
      </c>
    </row>
    <row r="458">
      <c r="A458" t="inlineStr">
        <is>
          <t>LU1165644672</t>
        </is>
      </c>
      <c r="B458" t="inlineStr">
        <is>
          <t>LU1165644672.EUFUND</t>
        </is>
      </c>
      <c r="C458" t="inlineStr">
        <is>
          <t>FUND</t>
        </is>
      </c>
      <c r="D458" t="inlineStr">
        <is>
          <t>FIXED_INCOME</t>
        </is>
      </c>
      <c r="E458" t="inlineStr">
        <is>
          <t>fondos-bonos</t>
        </is>
      </c>
      <c r="F458" t="inlineStr">
        <is>
          <t>IVO Funds - IVO Emerging Markets Corporate Debt EUR R Acc</t>
        </is>
      </c>
      <c r="G458" t="inlineStr">
        <is>
          <t>EUR</t>
        </is>
      </c>
      <c r="H458" s="2" t="inlineStr">
        <is>
          <t>si</t>
        </is>
      </c>
    </row>
    <row r="459">
      <c r="A459" t="inlineStr">
        <is>
          <t>LU0430492750</t>
        </is>
      </c>
      <c r="B459" t="inlineStr">
        <is>
          <t>LU0430492750.EUFUND</t>
        </is>
      </c>
      <c r="C459" t="inlineStr">
        <is>
          <t>FUND</t>
        </is>
      </c>
      <c r="D459" t="inlineStr">
        <is>
          <t>FIXED_INCOME</t>
        </is>
      </c>
      <c r="E459" t="inlineStr">
        <is>
          <t>fondos-bonos</t>
        </is>
      </c>
      <c r="F459" t="inlineStr">
        <is>
          <t>JPMorgan Funds - Euro Aggregate Bond Fund C (acc) EUR</t>
        </is>
      </c>
      <c r="G459" t="inlineStr">
        <is>
          <t>EUR</t>
        </is>
      </c>
      <c r="H459" s="2" t="inlineStr">
        <is>
          <t>si</t>
        </is>
      </c>
    </row>
    <row r="460">
      <c r="A460" t="inlineStr">
        <is>
          <t>FR0010230490</t>
        </is>
      </c>
      <c r="B460" t="inlineStr">
        <is>
          <t>FR0010230490.EUFUND</t>
        </is>
      </c>
      <c r="C460" t="inlineStr">
        <is>
          <t>FUND</t>
        </is>
      </c>
      <c r="D460" t="inlineStr">
        <is>
          <t>FIXED_INCOME</t>
        </is>
      </c>
      <c r="E460" t="inlineStr">
        <is>
          <t>fondos-bonos</t>
        </is>
      </c>
      <c r="F460" t="inlineStr">
        <is>
          <t>Lazard Credit Opportunities RC EUR</t>
        </is>
      </c>
      <c r="G460" t="inlineStr">
        <is>
          <t>EUR</t>
        </is>
      </c>
      <c r="H460" s="2" t="inlineStr">
        <is>
          <t>si</t>
        </is>
      </c>
    </row>
    <row r="461">
      <c r="A461" t="inlineStr">
        <is>
          <t>IE00BMW2TK08</t>
        </is>
      </c>
      <c r="B461" t="inlineStr">
        <is>
          <t>IE00BMW2TK08.EUFUND</t>
        </is>
      </c>
      <c r="C461" t="inlineStr">
        <is>
          <t>FUND</t>
        </is>
      </c>
      <c r="D461" t="inlineStr">
        <is>
          <t>FIXED_INCOME</t>
        </is>
      </c>
      <c r="E461" t="inlineStr">
        <is>
          <t>fondos-bonos</t>
        </is>
      </c>
      <c r="F461" t="inlineStr">
        <is>
          <t>Lazard Global Convertibles Recovery Fund BP Acc EUR Hedged</t>
        </is>
      </c>
      <c r="G461" t="inlineStr">
        <is>
          <t>EUR</t>
        </is>
      </c>
      <c r="H461" s="2" t="inlineStr">
        <is>
          <t>si</t>
        </is>
      </c>
    </row>
    <row r="462">
      <c r="A462" t="inlineStr">
        <is>
          <t>FR001400NTN5</t>
        </is>
      </c>
      <c r="B462" t="inlineStr">
        <is>
          <t>FR001400NTN5.EUFUND</t>
        </is>
      </c>
      <c r="C462" t="inlineStr">
        <is>
          <t>FUND</t>
        </is>
      </c>
      <c r="D462" t="inlineStr">
        <is>
          <t>FIXED_INCOME</t>
        </is>
      </c>
      <c r="E462" t="inlineStr">
        <is>
          <t>fondos-bonos</t>
        </is>
      </c>
      <c r="F462" t="inlineStr">
        <is>
          <t>Lazard High Yield 2029 EC EUR</t>
        </is>
      </c>
      <c r="G462" t="inlineStr">
        <is>
          <t>EUR</t>
        </is>
      </c>
      <c r="H462" s="2" t="inlineStr">
        <is>
          <t>si</t>
        </is>
      </c>
    </row>
    <row r="463">
      <c r="A463" t="inlineStr">
        <is>
          <t>LU1670631016</t>
        </is>
      </c>
      <c r="B463" t="inlineStr">
        <is>
          <t>LU1670631016.EUFUND</t>
        </is>
      </c>
      <c r="C463" t="inlineStr">
        <is>
          <t>FUND</t>
        </is>
      </c>
      <c r="D463" t="inlineStr">
        <is>
          <t>FIXED_INCOME</t>
        </is>
      </c>
      <c r="E463" t="inlineStr">
        <is>
          <t>fondos-bonos</t>
        </is>
      </c>
      <c r="F463" t="inlineStr">
        <is>
          <t>M&amp;G (Lux) Emerging Markets Bond Fund EUR A Acc</t>
        </is>
      </c>
      <c r="G463" t="inlineStr">
        <is>
          <t>EUR</t>
        </is>
      </c>
      <c r="H463" s="2" t="inlineStr">
        <is>
          <t>si</t>
        </is>
      </c>
    </row>
    <row r="464">
      <c r="A464" t="inlineStr">
        <is>
          <t>LU1670631289</t>
        </is>
      </c>
      <c r="B464" t="inlineStr">
        <is>
          <t>LU1670631289.EUFUND</t>
        </is>
      </c>
      <c r="C464" t="inlineStr">
        <is>
          <t>FUND</t>
        </is>
      </c>
      <c r="D464" t="inlineStr">
        <is>
          <t>FIXED_INCOME</t>
        </is>
      </c>
      <c r="E464" t="inlineStr">
        <is>
          <t>fondos-bonos</t>
        </is>
      </c>
      <c r="F464" t="inlineStr">
        <is>
          <t>M&amp;G (Lux) Emerging Markets Bond Fund EUR A-H Acc</t>
        </is>
      </c>
      <c r="G464" t="inlineStr">
        <is>
          <t>EUR</t>
        </is>
      </c>
      <c r="H464" s="2" t="inlineStr">
        <is>
          <t>si</t>
        </is>
      </c>
    </row>
    <row r="465">
      <c r="A465" t="inlineStr">
        <is>
          <t>LU1582984149</t>
        </is>
      </c>
      <c r="B465" t="inlineStr">
        <is>
          <t>LU1582984149.EUFUND</t>
        </is>
      </c>
      <c r="C465" t="inlineStr">
        <is>
          <t>FUND</t>
        </is>
      </c>
      <c r="D465" t="inlineStr">
        <is>
          <t>FIXED_INCOME</t>
        </is>
      </c>
      <c r="E465" t="inlineStr">
        <is>
          <t>fondos-bonos</t>
        </is>
      </c>
      <c r="F465" t="inlineStr">
        <is>
          <t>M&amp;G (Lux) European Inflation Linked Corporate Bond Fund EUR A Acc</t>
        </is>
      </c>
      <c r="G465" t="inlineStr">
        <is>
          <t>EUR</t>
        </is>
      </c>
      <c r="H465" s="2" t="inlineStr">
        <is>
          <t>si</t>
        </is>
      </c>
    </row>
    <row r="466">
      <c r="A466" t="inlineStr">
        <is>
          <t>LU1670708764</t>
        </is>
      </c>
      <c r="B466" t="inlineStr">
        <is>
          <t>LU1670708764.EUFUND</t>
        </is>
      </c>
      <c r="C466" t="inlineStr">
        <is>
          <t>FUND</t>
        </is>
      </c>
      <c r="D466" t="inlineStr">
        <is>
          <t>FIXED_INCOME</t>
        </is>
      </c>
      <c r="E466" t="inlineStr">
        <is>
          <t>fondos-bonos</t>
        </is>
      </c>
      <c r="F466" t="inlineStr">
        <is>
          <t>M&amp;G (Lux) Global Convertibles Fund EUR B Acc</t>
        </is>
      </c>
      <c r="G466" t="inlineStr">
        <is>
          <t>EUR</t>
        </is>
      </c>
      <c r="H466" s="2" t="inlineStr">
        <is>
          <t>si</t>
        </is>
      </c>
    </row>
    <row r="467">
      <c r="A467" t="inlineStr">
        <is>
          <t>LU1670722161</t>
        </is>
      </c>
      <c r="B467" t="inlineStr">
        <is>
          <t>LU1670722161.EUFUND</t>
        </is>
      </c>
      <c r="C467" t="inlineStr">
        <is>
          <t>FUND</t>
        </is>
      </c>
      <c r="D467" t="inlineStr">
        <is>
          <t>FIXED_INCOME</t>
        </is>
      </c>
      <c r="E467" t="inlineStr">
        <is>
          <t>fondos-bonos</t>
        </is>
      </c>
      <c r="F467" t="inlineStr">
        <is>
          <t>M&amp;G (Lux) Global Floating Rate High Yield Fund EUR A-H Acc</t>
        </is>
      </c>
      <c r="G467" t="inlineStr">
        <is>
          <t>EUR</t>
        </is>
      </c>
      <c r="H467" s="2" t="inlineStr">
        <is>
          <t>si</t>
        </is>
      </c>
    </row>
    <row r="468">
      <c r="A468" t="inlineStr">
        <is>
          <t>LU1670724373</t>
        </is>
      </c>
      <c r="B468" t="inlineStr">
        <is>
          <t>LU1670724373.EUFUND</t>
        </is>
      </c>
      <c r="C468" t="inlineStr">
        <is>
          <t>FUND</t>
        </is>
      </c>
      <c r="D468" t="inlineStr">
        <is>
          <t>FIXED_INCOME</t>
        </is>
      </c>
      <c r="E468" t="inlineStr">
        <is>
          <t>fondos-bonos</t>
        </is>
      </c>
      <c r="F468" t="inlineStr">
        <is>
          <t>M&amp;G (Lux) Optimal Income Fund EUR A Acc</t>
        </is>
      </c>
      <c r="G468" t="inlineStr">
        <is>
          <t>EUR</t>
        </is>
      </c>
      <c r="H468" s="2" t="inlineStr">
        <is>
          <t>si</t>
        </is>
      </c>
    </row>
    <row r="469">
      <c r="A469" t="inlineStr">
        <is>
          <t>LU1670718219</t>
        </is>
      </c>
      <c r="B469" t="inlineStr">
        <is>
          <t>LU1670718219.EUFUND</t>
        </is>
      </c>
      <c r="C469" t="inlineStr">
        <is>
          <t>FUND</t>
        </is>
      </c>
      <c r="D469" t="inlineStr">
        <is>
          <t>FIXED_INCOME</t>
        </is>
      </c>
      <c r="E469" t="inlineStr">
        <is>
          <t>fondos-bonos</t>
        </is>
      </c>
      <c r="F469" t="inlineStr">
        <is>
          <t>M&amp;G (Lux) Short Dated Corporate Bond Fund EUR A Acc</t>
        </is>
      </c>
      <c r="G469" t="inlineStr">
        <is>
          <t>EUR</t>
        </is>
      </c>
      <c r="H469" s="2" t="inlineStr">
        <is>
          <t>si</t>
        </is>
      </c>
    </row>
    <row r="470">
      <c r="A470" t="inlineStr">
        <is>
          <t>IE000MI53C66</t>
        </is>
      </c>
      <c r="B470" t="inlineStr">
        <is>
          <t>IE000MI53C66.EUFUND</t>
        </is>
      </c>
      <c r="C470" t="inlineStr">
        <is>
          <t>FUND</t>
        </is>
      </c>
      <c r="D470" t="inlineStr">
        <is>
          <t>FIXED_INCOME</t>
        </is>
      </c>
      <c r="E470" t="inlineStr">
        <is>
          <t>fondos-bonos</t>
        </is>
      </c>
      <c r="F470" t="inlineStr">
        <is>
          <t>Man Funds plc - Man Global Investment Grade Opportunities D H EUR</t>
        </is>
      </c>
      <c r="G470" t="inlineStr">
        <is>
          <t>EUR</t>
        </is>
      </c>
      <c r="H470" s="2" t="inlineStr">
        <is>
          <t>si</t>
        </is>
      </c>
    </row>
    <row r="471">
      <c r="A471" t="inlineStr">
        <is>
          <t>IE00BDTYYP61</t>
        </is>
      </c>
      <c r="B471" t="inlineStr">
        <is>
          <t>IE00BDTYYP61.EUFUND</t>
        </is>
      </c>
      <c r="C471" t="inlineStr">
        <is>
          <t>FUND</t>
        </is>
      </c>
      <c r="D471" t="inlineStr">
        <is>
          <t>FIXED_INCOME</t>
        </is>
      </c>
      <c r="E471" t="inlineStr">
        <is>
          <t>fondos-bonos</t>
        </is>
      </c>
      <c r="F471" t="inlineStr">
        <is>
          <t>Man Funds VI plc - Man High Yield Opportunities D EUR</t>
        </is>
      </c>
      <c r="G471" t="inlineStr">
        <is>
          <t>EUR</t>
        </is>
      </c>
      <c r="H471" s="2" t="inlineStr">
        <is>
          <t>si</t>
        </is>
      </c>
    </row>
    <row r="472">
      <c r="A472" t="inlineStr">
        <is>
          <t>ES0160873008</t>
        </is>
      </c>
      <c r="B472" t="inlineStr">
        <is>
          <t>ES0160873008.EUFUND</t>
        </is>
      </c>
      <c r="C472" t="inlineStr">
        <is>
          <t>FUND</t>
        </is>
      </c>
      <c r="D472" t="inlineStr">
        <is>
          <t>FIXED_INCOME</t>
        </is>
      </c>
      <c r="E472" t="inlineStr">
        <is>
          <t>fondos-bonos</t>
        </is>
      </c>
      <c r="F472" t="inlineStr">
        <is>
          <t>MARCH PAGARES  FI</t>
        </is>
      </c>
      <c r="G472" t="inlineStr">
        <is>
          <t>EUR</t>
        </is>
      </c>
      <c r="H472" s="2" t="inlineStr">
        <is>
          <t>si</t>
        </is>
      </c>
    </row>
    <row r="473">
      <c r="A473" t="inlineStr">
        <is>
          <t>ES0161032034</t>
        </is>
      </c>
      <c r="B473" t="inlineStr">
        <is>
          <t>ES0161032034.EUFUND</t>
        </is>
      </c>
      <c r="C473" t="inlineStr">
        <is>
          <t>FUND</t>
        </is>
      </c>
      <c r="D473" t="inlineStr">
        <is>
          <t>FIXED_INCOME</t>
        </is>
      </c>
      <c r="E473" t="inlineStr">
        <is>
          <t>fondos-bonos</t>
        </is>
      </c>
      <c r="F473" t="inlineStr">
        <is>
          <t>MARCH RENTA FIJA CORTO PLAZO  FI</t>
        </is>
      </c>
      <c r="G473" t="inlineStr">
        <is>
          <t>EUR</t>
        </is>
      </c>
      <c r="H473" s="2" t="inlineStr">
        <is>
          <t>si</t>
        </is>
      </c>
    </row>
    <row r="474">
      <c r="A474" t="inlineStr">
        <is>
          <t>LU2222028099</t>
        </is>
      </c>
      <c r="B474" t="inlineStr">
        <is>
          <t>LU2222028099.EUFUND</t>
        </is>
      </c>
      <c r="C474" t="inlineStr">
        <is>
          <t>FUND</t>
        </is>
      </c>
      <c r="D474" t="inlineStr">
        <is>
          <t>FIXED_INCOME</t>
        </is>
      </c>
      <c r="E474" t="inlineStr">
        <is>
          <t>fondos-bonos</t>
        </is>
      </c>
      <c r="F474" t="inlineStr">
        <is>
          <t>Merchbanc FCP Renta Fija Flex A</t>
        </is>
      </c>
      <c r="G474" t="inlineStr">
        <is>
          <t>EUR</t>
        </is>
      </c>
      <c r="H474" s="2" t="inlineStr">
        <is>
          <t>si</t>
        </is>
      </c>
    </row>
    <row r="475">
      <c r="A475" t="inlineStr">
        <is>
          <t>ES0162333035</t>
        </is>
      </c>
      <c r="B475" t="inlineStr">
        <is>
          <t>ES0162333035.EUFUND</t>
        </is>
      </c>
      <c r="C475" t="inlineStr">
        <is>
          <t>FUND</t>
        </is>
      </c>
      <c r="D475" t="inlineStr">
        <is>
          <t>FIXED_INCOME</t>
        </is>
      </c>
      <c r="E475" t="inlineStr">
        <is>
          <t>fondos-bonos</t>
        </is>
      </c>
      <c r="F475" t="inlineStr">
        <is>
          <t>MERCHRENTA  FI</t>
        </is>
      </c>
      <c r="G475" t="inlineStr">
        <is>
          <t>EUR</t>
        </is>
      </c>
      <c r="H475" s="2" t="inlineStr">
        <is>
          <t>si</t>
        </is>
      </c>
    </row>
    <row r="476">
      <c r="A476" t="inlineStr">
        <is>
          <t>LU1340702932</t>
        </is>
      </c>
      <c r="B476" t="inlineStr">
        <is>
          <t>LU1340702932.EUFUND</t>
        </is>
      </c>
      <c r="C476" t="inlineStr">
        <is>
          <t>FUND</t>
        </is>
      </c>
      <c r="D476" t="inlineStr">
        <is>
          <t>FIXED_INCOME</t>
        </is>
      </c>
      <c r="E476" t="inlineStr">
        <is>
          <t>fondos-bonos</t>
        </is>
      </c>
      <c r="F476" t="inlineStr">
        <is>
          <t>MFS Meridian Funds - Global Opportunistic Bond Fund A1 EUR</t>
        </is>
      </c>
      <c r="G476" t="inlineStr">
        <is>
          <t>EUR</t>
        </is>
      </c>
      <c r="H476" s="2" t="inlineStr">
        <is>
          <t>si</t>
        </is>
      </c>
    </row>
    <row r="477">
      <c r="A477" t="inlineStr">
        <is>
          <t>LU2784406998</t>
        </is>
      </c>
      <c r="B477" t="inlineStr">
        <is>
          <t>LU2784406998.EUFUND</t>
        </is>
      </c>
      <c r="C477" t="inlineStr">
        <is>
          <t>FUND</t>
        </is>
      </c>
      <c r="D477" t="inlineStr">
        <is>
          <t>FIXED_INCOME</t>
        </is>
      </c>
      <c r="E477" t="inlineStr">
        <is>
          <t>fondos-bonos</t>
        </is>
      </c>
      <c r="F477" t="inlineStr">
        <is>
          <t>Morgan Stanley Investment Funds - Emerging Markets Debt Opportunities Fund A EUR</t>
        </is>
      </c>
      <c r="G477" t="inlineStr">
        <is>
          <t>EUR</t>
        </is>
      </c>
      <c r="H477" s="2" t="inlineStr">
        <is>
          <t>si</t>
        </is>
      </c>
    </row>
    <row r="478">
      <c r="A478" t="inlineStr">
        <is>
          <t>LU1832969650</t>
        </is>
      </c>
      <c r="B478" t="inlineStr">
        <is>
          <t>LU1832969650.EUFUND</t>
        </is>
      </c>
      <c r="C478" t="inlineStr">
        <is>
          <t>FUND</t>
        </is>
      </c>
      <c r="D478" t="inlineStr">
        <is>
          <t>FIXED_INCOME</t>
        </is>
      </c>
      <c r="E478" t="inlineStr">
        <is>
          <t>fondos-bonos</t>
        </is>
      </c>
      <c r="F478" t="inlineStr">
        <is>
          <t>Morgan Stanley Investment Funds - Euro Corporate Bond - Duration Hedged Fund A</t>
        </is>
      </c>
      <c r="G478" t="inlineStr">
        <is>
          <t>EUR</t>
        </is>
      </c>
      <c r="H478" s="2" t="inlineStr">
        <is>
          <t>si</t>
        </is>
      </c>
    </row>
    <row r="479">
      <c r="A479" t="inlineStr">
        <is>
          <t>LU0712123511</t>
        </is>
      </c>
      <c r="B479" t="inlineStr">
        <is>
          <t>LU0712123511.EUFUND</t>
        </is>
      </c>
      <c r="C479" t="inlineStr">
        <is>
          <t>FUND</t>
        </is>
      </c>
      <c r="D479" t="inlineStr">
        <is>
          <t>FIXED_INCOME</t>
        </is>
      </c>
      <c r="E479" t="inlineStr">
        <is>
          <t>fondos-bonos</t>
        </is>
      </c>
      <c r="F479" t="inlineStr">
        <is>
          <t>Morgan Stanley Investment Funds - Global Fixed Income Opportunities Fund AH (EUR)</t>
        </is>
      </c>
      <c r="G479" t="inlineStr">
        <is>
          <t>EUR</t>
        </is>
      </c>
      <c r="H479" s="2" t="inlineStr">
        <is>
          <t>si</t>
        </is>
      </c>
    </row>
    <row r="480">
      <c r="A480" t="inlineStr">
        <is>
          <t>LU0073235904</t>
        </is>
      </c>
      <c r="B480" t="inlineStr">
        <is>
          <t>LU0073235904.EUFUND</t>
        </is>
      </c>
      <c r="C480" t="inlineStr">
        <is>
          <t>FUND</t>
        </is>
      </c>
      <c r="D480" t="inlineStr">
        <is>
          <t>FIXED_INCOME</t>
        </is>
      </c>
      <c r="E480" t="inlineStr">
        <is>
          <t>fondos-bonos</t>
        </is>
      </c>
      <c r="F480" t="inlineStr">
        <is>
          <t>Morgan Stanley Investment Funds - Short Maturity Euro Bond Fund A</t>
        </is>
      </c>
      <c r="G480" t="inlineStr">
        <is>
          <t>EUR</t>
        </is>
      </c>
      <c r="H480" s="2" t="inlineStr">
        <is>
          <t>si</t>
        </is>
      </c>
    </row>
    <row r="481">
      <c r="A481" t="inlineStr">
        <is>
          <t>ES0165237001</t>
        </is>
      </c>
      <c r="B481" t="inlineStr">
        <is>
          <t>ES0165237001.EUFUND</t>
        </is>
      </c>
      <c r="C481" t="inlineStr">
        <is>
          <t>FUND</t>
        </is>
      </c>
      <c r="D481" t="inlineStr">
        <is>
          <t>FIXED_INCOME</t>
        </is>
      </c>
      <c r="E481" t="inlineStr">
        <is>
          <t>fondos-bonos</t>
        </is>
      </c>
      <c r="F481" t="inlineStr">
        <is>
          <t>MUTUAFONDO  FI</t>
        </is>
      </c>
      <c r="G481" t="inlineStr">
        <is>
          <t>EUR</t>
        </is>
      </c>
      <c r="H481" s="2" t="inlineStr">
        <is>
          <t>si</t>
        </is>
      </c>
    </row>
    <row r="482">
      <c r="A482" t="inlineStr">
        <is>
          <t>ES0165142037</t>
        </is>
      </c>
      <c r="B482" t="inlineStr">
        <is>
          <t>ES0165142037.EUFUND</t>
        </is>
      </c>
      <c r="C482" t="inlineStr">
        <is>
          <t>FUND</t>
        </is>
      </c>
      <c r="D482" t="inlineStr">
        <is>
          <t>FIXED_INCOME</t>
        </is>
      </c>
      <c r="E482" t="inlineStr">
        <is>
          <t>fondos-bonos</t>
        </is>
      </c>
      <c r="F482" t="inlineStr">
        <is>
          <t>MUTUAFONDO CORTO PLAZO  FI - CLASE A</t>
        </is>
      </c>
      <c r="G482" t="inlineStr">
        <is>
          <t>EUR</t>
        </is>
      </c>
      <c r="H482" s="2" t="inlineStr">
        <is>
          <t>si</t>
        </is>
      </c>
    </row>
    <row r="483">
      <c r="A483" t="inlineStr">
        <is>
          <t>ES0165142003</t>
        </is>
      </c>
      <c r="B483" t="inlineStr">
        <is>
          <t>ES0165142003.EUFUND</t>
        </is>
      </c>
      <c r="C483" t="inlineStr">
        <is>
          <t>FUND</t>
        </is>
      </c>
      <c r="D483" t="inlineStr">
        <is>
          <t>FIXED_INCOME</t>
        </is>
      </c>
      <c r="E483" t="inlineStr">
        <is>
          <t>fondos-bonos</t>
        </is>
      </c>
      <c r="F483" t="inlineStr">
        <is>
          <t>MUTUAFONDO CORTO PLAZO  FI - CLASE D</t>
        </is>
      </c>
      <c r="G483" t="inlineStr">
        <is>
          <t>EUR</t>
        </is>
      </c>
      <c r="H483" s="2" t="inlineStr">
        <is>
          <t>si</t>
        </is>
      </c>
    </row>
    <row r="484">
      <c r="A484" t="inlineStr">
        <is>
          <t>LU0935222900</t>
        </is>
      </c>
      <c r="B484" t="inlineStr">
        <is>
          <t>LU0935222900.EUFUND</t>
        </is>
      </c>
      <c r="C484" t="inlineStr">
        <is>
          <t>FUND</t>
        </is>
      </c>
      <c r="D484" t="inlineStr">
        <is>
          <t>FIXED_INCOME</t>
        </is>
      </c>
      <c r="E484" t="inlineStr">
        <is>
          <t>fondos-bonos</t>
        </is>
      </c>
      <c r="F484" t="inlineStr">
        <is>
          <t>Natixis AM Funds - Ostrum Euro Inflation R/A (EUR)</t>
        </is>
      </c>
      <c r="G484" t="inlineStr">
        <is>
          <t>EUR</t>
        </is>
      </c>
      <c r="H484" s="2" t="inlineStr">
        <is>
          <t>si</t>
        </is>
      </c>
    </row>
    <row r="485">
      <c r="A485" t="inlineStr">
        <is>
          <t>IE00B986FT65</t>
        </is>
      </c>
      <c r="B485" t="inlineStr">
        <is>
          <t>IE00B986FT65.EUFUND</t>
        </is>
      </c>
      <c r="C485" t="inlineStr">
        <is>
          <t>FUND</t>
        </is>
      </c>
      <c r="D485" t="inlineStr">
        <is>
          <t>FIXED_INCOME</t>
        </is>
      </c>
      <c r="E485" t="inlineStr">
        <is>
          <t>fondos-bonos</t>
        </is>
      </c>
      <c r="F485" t="inlineStr">
        <is>
          <t>Neuberger Berman Emerging Market Debt - Hard Currency Fund EUR A Accumulating Class</t>
        </is>
      </c>
      <c r="G485" t="inlineStr">
        <is>
          <t>EUR</t>
        </is>
      </c>
      <c r="H485" s="2" t="inlineStr">
        <is>
          <t>si</t>
        </is>
      </c>
    </row>
    <row r="486">
      <c r="A486" t="inlineStr">
        <is>
          <t>IE00BDZRWZ54</t>
        </is>
      </c>
      <c r="B486" t="inlineStr">
        <is>
          <t>IE00BDZRWZ54.EUFUND</t>
        </is>
      </c>
      <c r="C486" t="inlineStr">
        <is>
          <t>FUND</t>
        </is>
      </c>
      <c r="D486" t="inlineStr">
        <is>
          <t>FIXED_INCOME</t>
        </is>
      </c>
      <c r="E486" t="inlineStr">
        <is>
          <t>fondos-bonos</t>
        </is>
      </c>
      <c r="F486" t="inlineStr">
        <is>
          <t>Neuberger Berman Short Duration Emerging Market Debt Fund EUR A Accumulating Class</t>
        </is>
      </c>
      <c r="G486" t="inlineStr">
        <is>
          <t>EUR</t>
        </is>
      </c>
      <c r="H486" s="2" t="inlineStr">
        <is>
          <t>si</t>
        </is>
      </c>
    </row>
    <row r="487">
      <c r="A487" t="inlineStr">
        <is>
          <t>IE00BNG2T811</t>
        </is>
      </c>
      <c r="B487" t="inlineStr">
        <is>
          <t>IE00BNG2T811.EUFUND</t>
        </is>
      </c>
      <c r="C487" t="inlineStr">
        <is>
          <t>FUND</t>
        </is>
      </c>
      <c r="D487" t="inlineStr">
        <is>
          <t>FIXED_INCOME</t>
        </is>
      </c>
      <c r="E487" t="inlineStr">
        <is>
          <t>fondos-bonos</t>
        </is>
      </c>
      <c r="F487" t="inlineStr">
        <is>
          <t>Neuberger Berman Short Duration Euro Bond Fund EUR A Accumulating Class</t>
        </is>
      </c>
      <c r="G487" t="inlineStr">
        <is>
          <t>EUR</t>
        </is>
      </c>
      <c r="H487" s="2" t="inlineStr">
        <is>
          <t>si</t>
        </is>
      </c>
    </row>
    <row r="488">
      <c r="A488" t="inlineStr">
        <is>
          <t>IE00B3RW6Z61</t>
        </is>
      </c>
      <c r="B488" t="inlineStr">
        <is>
          <t>IE00B3RW6Z61.EUFUND</t>
        </is>
      </c>
      <c r="C488" t="inlineStr">
        <is>
          <t>FUND</t>
        </is>
      </c>
      <c r="D488" t="inlineStr">
        <is>
          <t>FIXED_INCOME</t>
        </is>
      </c>
      <c r="E488" t="inlineStr">
        <is>
          <t>fondos-bonos</t>
        </is>
      </c>
      <c r="F488" t="inlineStr">
        <is>
          <t>Nomura Funds Ireland plc - US High Yield Bond Fund Class A EUR</t>
        </is>
      </c>
      <c r="G488" t="inlineStr">
        <is>
          <t>EUR</t>
        </is>
      </c>
      <c r="H488" s="2" t="inlineStr">
        <is>
          <t>si</t>
        </is>
      </c>
    </row>
    <row r="489">
      <c r="A489" t="inlineStr">
        <is>
          <t>LU1915690918</t>
        </is>
      </c>
      <c r="B489" t="inlineStr">
        <is>
          <t>LU1915690918.EUFUND</t>
        </is>
      </c>
      <c r="C489" t="inlineStr">
        <is>
          <t>FUND</t>
        </is>
      </c>
      <c r="D489" t="inlineStr">
        <is>
          <t>FIXED_INCOME</t>
        </is>
      </c>
      <c r="E489" t="inlineStr">
        <is>
          <t>fondos-bonos</t>
        </is>
      </c>
      <c r="F489" t="inlineStr">
        <is>
          <t>Nordea 1 - Active Rates Opportunities Fund Fund E EUR</t>
        </is>
      </c>
      <c r="G489" t="inlineStr">
        <is>
          <t>EUR</t>
        </is>
      </c>
      <c r="H489" s="2" t="inlineStr">
        <is>
          <t>si</t>
        </is>
      </c>
    </row>
    <row r="490">
      <c r="A490" t="inlineStr">
        <is>
          <t>LU0173779223</t>
        </is>
      </c>
      <c r="B490" t="inlineStr">
        <is>
          <t>LU0173779223.EUFUND</t>
        </is>
      </c>
      <c r="C490" t="inlineStr">
        <is>
          <t>FUND</t>
        </is>
      </c>
      <c r="D490" t="inlineStr">
        <is>
          <t>FIXED_INCOME</t>
        </is>
      </c>
      <c r="E490" t="inlineStr">
        <is>
          <t>fondos-bonos</t>
        </is>
      </c>
      <c r="F490" t="inlineStr">
        <is>
          <t>Nordea 1 - Danish Covered Bond Fund BP EUR</t>
        </is>
      </c>
      <c r="G490" t="inlineStr">
        <is>
          <t>EUR</t>
        </is>
      </c>
      <c r="H490" s="2" t="inlineStr">
        <is>
          <t>si</t>
        </is>
      </c>
    </row>
    <row r="491">
      <c r="A491" t="inlineStr">
        <is>
          <t>LU0637302547</t>
        </is>
      </c>
      <c r="B491" t="inlineStr">
        <is>
          <t>LU0637302547.EUFUND</t>
        </is>
      </c>
      <c r="C491" t="inlineStr">
        <is>
          <t>FUND</t>
        </is>
      </c>
      <c r="D491" t="inlineStr">
        <is>
          <t>FIXED_INCOME</t>
        </is>
      </c>
      <c r="E491" t="inlineStr">
        <is>
          <t>fondos-bonos</t>
        </is>
      </c>
      <c r="F491" t="inlineStr">
        <is>
          <t>Nordea 1 - Emerging Market Corporate Bond Fund BP EUR</t>
        </is>
      </c>
      <c r="G491" t="inlineStr">
        <is>
          <t>EUR</t>
        </is>
      </c>
      <c r="H491" s="2" t="inlineStr">
        <is>
          <t>si</t>
        </is>
      </c>
    </row>
    <row r="492">
      <c r="A492" t="inlineStr">
        <is>
          <t>LU0733673288</t>
        </is>
      </c>
      <c r="B492" t="inlineStr">
        <is>
          <t>LU0733673288.EUFUND</t>
        </is>
      </c>
      <c r="C492" t="inlineStr">
        <is>
          <t>FUND</t>
        </is>
      </c>
      <c r="D492" t="inlineStr">
        <is>
          <t>FIXED_INCOME</t>
        </is>
      </c>
      <c r="E492" t="inlineStr">
        <is>
          <t>fondos-bonos</t>
        </is>
      </c>
      <c r="F492" t="inlineStr">
        <is>
          <t>Nordea 1 - European Cross Credit Fund BP EUR</t>
        </is>
      </c>
      <c r="G492" t="inlineStr">
        <is>
          <t>EUR</t>
        </is>
      </c>
      <c r="H492" s="2" t="inlineStr">
        <is>
          <t>si</t>
        </is>
      </c>
    </row>
    <row r="493">
      <c r="A493" t="inlineStr">
        <is>
          <t>LU1694212348</t>
        </is>
      </c>
      <c r="B493" t="inlineStr">
        <is>
          <t>LU1694212348.EUFUND</t>
        </is>
      </c>
      <c r="C493" t="inlineStr">
        <is>
          <t>FUND</t>
        </is>
      </c>
      <c r="D493" t="inlineStr">
        <is>
          <t>FIXED_INCOME</t>
        </is>
      </c>
      <c r="E493" t="inlineStr">
        <is>
          <t>fondos-bonos</t>
        </is>
      </c>
      <c r="F493" t="inlineStr">
        <is>
          <t>Nordea 1 - Low Duration European Covered Bond Fund BP EUR</t>
        </is>
      </c>
      <c r="G493" t="inlineStr">
        <is>
          <t>EUR</t>
        </is>
      </c>
      <c r="H493" s="2" t="inlineStr">
        <is>
          <t>si</t>
        </is>
      </c>
    </row>
    <row r="494">
      <c r="A494" t="inlineStr">
        <is>
          <t>LU1486845537</t>
        </is>
      </c>
      <c r="B494" t="inlineStr">
        <is>
          <t>LU1486845537.EUFUND</t>
        </is>
      </c>
      <c r="C494" t="inlineStr">
        <is>
          <t>FUND</t>
        </is>
      </c>
      <c r="D494" t="inlineStr">
        <is>
          <t>FIXED_INCOME</t>
        </is>
      </c>
      <c r="E494" t="inlineStr">
        <is>
          <t>fondos-bonos</t>
        </is>
      </c>
      <c r="F494" t="inlineStr">
        <is>
          <t>Oddo BHF Euro Credit Short Duration CR-EUR</t>
        </is>
      </c>
      <c r="G494" t="inlineStr">
        <is>
          <t>EUR</t>
        </is>
      </c>
      <c r="H494" s="2" t="inlineStr">
        <is>
          <t>si</t>
        </is>
      </c>
    </row>
    <row r="495">
      <c r="A495" t="inlineStr">
        <is>
          <t>FR0013231453</t>
        </is>
      </c>
      <c r="B495" t="inlineStr">
        <is>
          <t>FR0013231453.EUFUND</t>
        </is>
      </c>
      <c r="C495" t="inlineStr">
        <is>
          <t>FUND</t>
        </is>
      </c>
      <c r="D495" t="inlineStr">
        <is>
          <t>FIXED_INCOME</t>
        </is>
      </c>
      <c r="E495" t="inlineStr">
        <is>
          <t>fondos-bonos</t>
        </is>
      </c>
      <c r="F495" t="inlineStr">
        <is>
          <t>Ostrum Credit Ultra Short Plus I-C EUR</t>
        </is>
      </c>
      <c r="G495" t="inlineStr">
        <is>
          <t>EUR</t>
        </is>
      </c>
      <c r="H495" s="2" t="inlineStr">
        <is>
          <t>si</t>
        </is>
      </c>
    </row>
    <row r="496">
      <c r="A496" t="inlineStr">
        <is>
          <t>IE00B90VC092</t>
        </is>
      </c>
      <c r="B496" t="inlineStr">
        <is>
          <t>IE00B90VC092.EUFUND</t>
        </is>
      </c>
      <c r="C496" t="inlineStr">
        <is>
          <t>FUND</t>
        </is>
      </c>
      <c r="D496" t="inlineStr">
        <is>
          <t>FIXED_INCOME</t>
        </is>
      </c>
      <c r="E496" t="inlineStr">
        <is>
          <t>fondos-bonos</t>
        </is>
      </c>
      <c r="F496" t="inlineStr">
        <is>
          <t>PIMCO European Short-Term Opportunities Fund E EUR Accumulation</t>
        </is>
      </c>
      <c r="G496" t="inlineStr">
        <is>
          <t>EUR</t>
        </is>
      </c>
      <c r="H496" s="2" t="inlineStr">
        <is>
          <t>si</t>
        </is>
      </c>
    </row>
    <row r="497">
      <c r="A497" t="inlineStr">
        <is>
          <t>IE00B5ZW6Z28</t>
        </is>
      </c>
      <c r="B497" t="inlineStr">
        <is>
          <t>IE00B5ZW6Z28.EUFUND</t>
        </is>
      </c>
      <c r="C497" t="inlineStr">
        <is>
          <t>FUND</t>
        </is>
      </c>
      <c r="D497" t="inlineStr">
        <is>
          <t>FIXED_INCOME</t>
        </is>
      </c>
      <c r="E497" t="inlineStr">
        <is>
          <t>fondos-bonos</t>
        </is>
      </c>
      <c r="F497" t="inlineStr">
        <is>
          <t>PIMCO GIS Emerging Local Bond Fund E Class EUR (Unhedged) Accumulation</t>
        </is>
      </c>
      <c r="G497" t="inlineStr">
        <is>
          <t>EUR</t>
        </is>
      </c>
      <c r="H497" s="2" t="inlineStr">
        <is>
          <t>si</t>
        </is>
      </c>
    </row>
    <row r="498">
      <c r="A498" t="inlineStr">
        <is>
          <t>IE00B11XYW43</t>
        </is>
      </c>
      <c r="B498" t="inlineStr">
        <is>
          <t>IE00B11XYW43.EUFUND</t>
        </is>
      </c>
      <c r="C498" t="inlineStr">
        <is>
          <t>FUND</t>
        </is>
      </c>
      <c r="D498" t="inlineStr">
        <is>
          <t>FIXED_INCOME</t>
        </is>
      </c>
      <c r="E498" t="inlineStr">
        <is>
          <t>fondos-bonos</t>
        </is>
      </c>
      <c r="F498" t="inlineStr">
        <is>
          <t>PIMCO GIS Emerging Markets Bond Fund E Class EUR (Hedged) Accumulation</t>
        </is>
      </c>
      <c r="G498" t="inlineStr">
        <is>
          <t>EUR</t>
        </is>
      </c>
      <c r="H498" s="2" t="inlineStr">
        <is>
          <t>si</t>
        </is>
      </c>
    </row>
    <row r="499">
      <c r="A499" t="inlineStr">
        <is>
          <t>IE00B53H0P79</t>
        </is>
      </c>
      <c r="B499" t="inlineStr">
        <is>
          <t>IE00B53H0P79.EUFUND</t>
        </is>
      </c>
      <c r="C499" t="inlineStr">
        <is>
          <t>FUND</t>
        </is>
      </c>
      <c r="D499" t="inlineStr">
        <is>
          <t>FIXED_INCOME</t>
        </is>
      </c>
      <c r="E499" t="inlineStr">
        <is>
          <t>fondos-bonos</t>
        </is>
      </c>
      <c r="F499" t="inlineStr">
        <is>
          <t>PIMCO GIS Global Advantage Fund E Class EUR (Partially Hedged) Accumulation</t>
        </is>
      </c>
      <c r="G499" t="inlineStr">
        <is>
          <t>EUR</t>
        </is>
      </c>
      <c r="H499" s="2" t="inlineStr">
        <is>
          <t>si</t>
        </is>
      </c>
    </row>
    <row r="500">
      <c r="A500" t="inlineStr">
        <is>
          <t>IE00B11XZ103</t>
        </is>
      </c>
      <c r="B500" t="inlineStr">
        <is>
          <t>IE00B11XZ103.EUFUND</t>
        </is>
      </c>
      <c r="C500" t="inlineStr">
        <is>
          <t>FUND</t>
        </is>
      </c>
      <c r="D500" t="inlineStr">
        <is>
          <t>FIXED_INCOME</t>
        </is>
      </c>
      <c r="E500" t="inlineStr">
        <is>
          <t>fondos-bonos</t>
        </is>
      </c>
      <c r="F500" t="inlineStr">
        <is>
          <t>PIMCO GIS Global Bond Fund E Class EUR (Hedged) Accumulation</t>
        </is>
      </c>
      <c r="G500" t="inlineStr">
        <is>
          <t>EUR</t>
        </is>
      </c>
      <c r="H500" s="2" t="inlineStr">
        <is>
          <t>si</t>
        </is>
      </c>
    </row>
    <row r="501">
      <c r="A501" t="inlineStr">
        <is>
          <t>IE00BJ7B9456</t>
        </is>
      </c>
      <c r="B501" t="inlineStr">
        <is>
          <t>IE00BJ7B9456.EUFUND</t>
        </is>
      </c>
      <c r="C501" t="inlineStr">
        <is>
          <t>FUND</t>
        </is>
      </c>
      <c r="D501" t="inlineStr">
        <is>
          <t>FIXED_INCOME</t>
        </is>
      </c>
      <c r="E501" t="inlineStr">
        <is>
          <t>fondos-bonos</t>
        </is>
      </c>
      <c r="F501" t="inlineStr">
        <is>
          <t>PIMCO GIS Global Low Duration Real Return Fund E Class EUR (Hedged) Accumulation</t>
        </is>
      </c>
      <c r="G501" t="inlineStr">
        <is>
          <t>EUR</t>
        </is>
      </c>
      <c r="H501" s="2" t="inlineStr">
        <is>
          <t>si</t>
        </is>
      </c>
    </row>
    <row r="502">
      <c r="A502" t="inlineStr">
        <is>
          <t>IE00B84J9L26</t>
        </is>
      </c>
      <c r="B502" t="inlineStr">
        <is>
          <t>IE00B84J9L26.EUFUND</t>
        </is>
      </c>
      <c r="C502" t="inlineStr">
        <is>
          <t>FUND</t>
        </is>
      </c>
      <c r="D502" t="inlineStr">
        <is>
          <t>FIXED_INCOME</t>
        </is>
      </c>
      <c r="E502" t="inlineStr">
        <is>
          <t>fondos-bonos</t>
        </is>
      </c>
      <c r="F502" t="inlineStr">
        <is>
          <t>PIMCO GIS Income Fund E Class EUR (Hedged) Accumulation</t>
        </is>
      </c>
      <c r="G502" t="inlineStr">
        <is>
          <t>EUR</t>
        </is>
      </c>
      <c r="H502" s="2" t="inlineStr">
        <is>
          <t>si</t>
        </is>
      </c>
    </row>
    <row r="503">
      <c r="A503" t="inlineStr">
        <is>
          <t>IE00BF2FJG67</t>
        </is>
      </c>
      <c r="B503" t="inlineStr">
        <is>
          <t>IE00BF2FJG67.EUFUND</t>
        </is>
      </c>
      <c r="C503" t="inlineStr">
        <is>
          <t>FUND</t>
        </is>
      </c>
      <c r="D503" t="inlineStr">
        <is>
          <t>FIXED_INCOME</t>
        </is>
      </c>
      <c r="E503" t="inlineStr">
        <is>
          <t>fondos-bonos</t>
        </is>
      </c>
      <c r="F503" t="inlineStr">
        <is>
          <t>PIMCO GIS Low Duration Opportunities Fund E Class EUR (Hedged) Accumulation</t>
        </is>
      </c>
      <c r="G503" t="inlineStr">
        <is>
          <t>EUR</t>
        </is>
      </c>
      <c r="H503" s="2" t="inlineStr">
        <is>
          <t>si</t>
        </is>
      </c>
    </row>
    <row r="504">
      <c r="A504" t="inlineStr">
        <is>
          <t>ES0182631004</t>
        </is>
      </c>
      <c r="B504" t="inlineStr">
        <is>
          <t>ES0182631004.EUFUND</t>
        </is>
      </c>
      <c r="C504" t="inlineStr">
        <is>
          <t>FUND</t>
        </is>
      </c>
      <c r="D504" t="inlineStr">
        <is>
          <t>FIXED_INCOME</t>
        </is>
      </c>
      <c r="E504" t="inlineStr">
        <is>
          <t>fondos-bonos</t>
        </is>
      </c>
      <c r="F504" t="inlineStr">
        <is>
          <t>POLAR RENTA FIJA FI</t>
        </is>
      </c>
      <c r="G504" t="inlineStr">
        <is>
          <t>EUR</t>
        </is>
      </c>
      <c r="H504" s="2" t="inlineStr">
        <is>
          <t>si</t>
        </is>
      </c>
    </row>
    <row r="505">
      <c r="A505" t="inlineStr">
        <is>
          <t>IE00BD2ZKT29</t>
        </is>
      </c>
      <c r="B505" t="inlineStr">
        <is>
          <t>IE00BD2ZKT29.EUFUND</t>
        </is>
      </c>
      <c r="C505" t="inlineStr">
        <is>
          <t>FUND</t>
        </is>
      </c>
      <c r="D505" t="inlineStr">
        <is>
          <t>FIXED_INCOME</t>
        </is>
      </c>
      <c r="E505" t="inlineStr">
        <is>
          <t>fondos-bonos</t>
        </is>
      </c>
      <c r="F505" t="inlineStr">
        <is>
          <t>Principal Global Investors Funds - Finisterre Unconstrained Emerging Market Fxd Inc Fd A Hdg Acc EUR</t>
        </is>
      </c>
      <c r="G505" t="inlineStr">
        <is>
          <t>EUR</t>
        </is>
      </c>
      <c r="H505" s="2" t="inlineStr">
        <is>
          <t>si</t>
        </is>
      </c>
    </row>
    <row r="506">
      <c r="A506" t="inlineStr">
        <is>
          <t>FR0007008750</t>
        </is>
      </c>
      <c r="B506" t="inlineStr">
        <is>
          <t>FR0007008750.EUFUND</t>
        </is>
      </c>
      <c r="C506" t="inlineStr">
        <is>
          <t>FUND</t>
        </is>
      </c>
      <c r="D506" t="inlineStr">
        <is>
          <t>FIXED_INCOME</t>
        </is>
      </c>
      <c r="E506" t="inlineStr">
        <is>
          <t>fondos-bonos</t>
        </is>
      </c>
      <c r="F506" t="inlineStr">
        <is>
          <t>R-co Conviction Credit Euro C EUR</t>
        </is>
      </c>
      <c r="G506" t="inlineStr">
        <is>
          <t>EUR</t>
        </is>
      </c>
      <c r="H506" s="2" t="inlineStr">
        <is>
          <t>si</t>
        </is>
      </c>
    </row>
    <row r="507">
      <c r="A507" t="inlineStr">
        <is>
          <t>ES0176954008</t>
        </is>
      </c>
      <c r="B507" t="inlineStr">
        <is>
          <t>ES0176954008.EUFUND</t>
        </is>
      </c>
      <c r="C507" t="inlineStr">
        <is>
          <t>FUND</t>
        </is>
      </c>
      <c r="D507" t="inlineStr">
        <is>
          <t>FIXED_INCOME</t>
        </is>
      </c>
      <c r="E507" t="inlineStr">
        <is>
          <t>fondos-bonos</t>
        </is>
      </c>
      <c r="F507" t="inlineStr">
        <is>
          <t>RENTA 4 RENTA FIJA  FI</t>
        </is>
      </c>
      <c r="G507" t="inlineStr">
        <is>
          <t>EUR</t>
        </is>
      </c>
      <c r="H507" s="2" t="inlineStr">
        <is>
          <t>si</t>
        </is>
      </c>
    </row>
    <row r="508">
      <c r="A508" t="inlineStr">
        <is>
          <t>LU1362999481</t>
        </is>
      </c>
      <c r="B508" t="inlineStr">
        <is>
          <t>LU1362999481.EUFUND</t>
        </is>
      </c>
      <c r="C508" t="inlineStr">
        <is>
          <t>FUND</t>
        </is>
      </c>
      <c r="D508" t="inlineStr">
        <is>
          <t>FIXED_INCOME</t>
        </is>
      </c>
      <c r="E508" t="inlineStr">
        <is>
          <t>fondos-bonos</t>
        </is>
      </c>
      <c r="F508" t="inlineStr">
        <is>
          <t>Robeco High Yield Bonds D €</t>
        </is>
      </c>
      <c r="G508" t="inlineStr">
        <is>
          <t>EUR</t>
        </is>
      </c>
      <c r="H508" s="2" t="inlineStr">
        <is>
          <t>si</t>
        </is>
      </c>
    </row>
    <row r="509">
      <c r="A509" t="inlineStr">
        <is>
          <t>ES0170138038</t>
        </is>
      </c>
      <c r="B509" t="inlineStr">
        <is>
          <t>ES0170138038.EUFUND</t>
        </is>
      </c>
      <c r="C509" t="inlineStr">
        <is>
          <t>FUND</t>
        </is>
      </c>
      <c r="D509" t="inlineStr">
        <is>
          <t>FIXED_INCOME</t>
        </is>
      </c>
      <c r="E509" t="inlineStr">
        <is>
          <t>fondos-bonos</t>
        </is>
      </c>
      <c r="F509" t="inlineStr">
        <is>
          <t>SANTALUCIA RENTA FIJA  FI</t>
        </is>
      </c>
      <c r="G509" t="inlineStr">
        <is>
          <t>EUR</t>
        </is>
      </c>
      <c r="H509" s="2" t="inlineStr">
        <is>
          <t>si</t>
        </is>
      </c>
    </row>
    <row r="510">
      <c r="A510" t="inlineStr">
        <is>
          <t>ES0170156030</t>
        </is>
      </c>
      <c r="B510" t="inlineStr">
        <is>
          <t>ES0170156030.EUFUND</t>
        </is>
      </c>
      <c r="C510" t="inlineStr">
        <is>
          <t>FUND</t>
        </is>
      </c>
      <c r="D510" t="inlineStr">
        <is>
          <t>FIXED_INCOME</t>
        </is>
      </c>
      <c r="E510" t="inlineStr">
        <is>
          <t>fondos-bonos</t>
        </is>
      </c>
      <c r="F510" t="inlineStr">
        <is>
          <t>SANTALUCIA RENTA FIJA CORTO PLAZO EURO  FI</t>
        </is>
      </c>
      <c r="G510" t="inlineStr">
        <is>
          <t>EUR</t>
        </is>
      </c>
      <c r="H510" s="2" t="inlineStr">
        <is>
          <t>si</t>
        </is>
      </c>
    </row>
    <row r="511">
      <c r="A511" t="inlineStr">
        <is>
          <t>LU0795636256</t>
        </is>
      </c>
      <c r="B511" t="inlineStr">
        <is>
          <t>LU0795636256.EUFUND</t>
        </is>
      </c>
      <c r="C511" t="inlineStr">
        <is>
          <t>FUND</t>
        </is>
      </c>
      <c r="D511" t="inlineStr">
        <is>
          <t>FIXED_INCOME</t>
        </is>
      </c>
      <c r="E511" t="inlineStr">
        <is>
          <t>fondos-bonos</t>
        </is>
      </c>
      <c r="F511" t="inlineStr">
        <is>
          <t>Schroder International Selection Fund Emerging Markets Hard Currency A Accumulation EUR Hedged</t>
        </is>
      </c>
      <c r="G511" t="inlineStr">
        <is>
          <t>EUR</t>
        </is>
      </c>
      <c r="H511" s="2" t="inlineStr">
        <is>
          <t>si</t>
        </is>
      </c>
    </row>
    <row r="512">
      <c r="A512" t="inlineStr">
        <is>
          <t>LU0133717503</t>
        </is>
      </c>
      <c r="B512" t="inlineStr">
        <is>
          <t>LU0133717503.EUFUND</t>
        </is>
      </c>
      <c r="C512" t="inlineStr">
        <is>
          <t>FUND</t>
        </is>
      </c>
      <c r="D512" t="inlineStr">
        <is>
          <t>FIXED_INCOME</t>
        </is>
      </c>
      <c r="E512" t="inlineStr">
        <is>
          <t>fondos-bonos</t>
        </is>
      </c>
      <c r="F512" t="inlineStr">
        <is>
          <t>Schroder International Selection Fund EURO Corporate Bond A1 Accumulation EUR</t>
        </is>
      </c>
      <c r="G512" t="inlineStr">
        <is>
          <t>EUR</t>
        </is>
      </c>
      <c r="H512" s="2" t="inlineStr">
        <is>
          <t>si</t>
        </is>
      </c>
    </row>
    <row r="513">
      <c r="A513" t="inlineStr">
        <is>
          <t>LU0995119665</t>
        </is>
      </c>
      <c r="B513" t="inlineStr">
        <is>
          <t>LU0995119665.EUFUND</t>
        </is>
      </c>
      <c r="C513" t="inlineStr">
        <is>
          <t>FUND</t>
        </is>
      </c>
      <c r="D513" t="inlineStr">
        <is>
          <t>FIXED_INCOME</t>
        </is>
      </c>
      <c r="E513" t="inlineStr">
        <is>
          <t>fondos-bonos</t>
        </is>
      </c>
      <c r="F513" t="inlineStr">
        <is>
          <t>Schroder International Selection Fund EURO Credit Conviction A Accumulation EUR</t>
        </is>
      </c>
      <c r="G513" t="inlineStr">
        <is>
          <t>EUR</t>
        </is>
      </c>
      <c r="H513" s="2" t="inlineStr">
        <is>
          <t>si</t>
        </is>
      </c>
    </row>
    <row r="514">
      <c r="A514" t="inlineStr">
        <is>
          <t>LU0995119749</t>
        </is>
      </c>
      <c r="B514" t="inlineStr">
        <is>
          <t>LU0995119749.EUFUND</t>
        </is>
      </c>
      <c r="C514" t="inlineStr">
        <is>
          <t>FUND</t>
        </is>
      </c>
      <c r="D514" t="inlineStr">
        <is>
          <t>FIXED_INCOME</t>
        </is>
      </c>
      <c r="E514" t="inlineStr">
        <is>
          <t>fondos-bonos</t>
        </is>
      </c>
      <c r="F514" t="inlineStr">
        <is>
          <t>Schroder International Selection Fund EURO Credit Conviction B Accumulation EUR</t>
        </is>
      </c>
      <c r="G514" t="inlineStr">
        <is>
          <t>EUR</t>
        </is>
      </c>
      <c r="H514" s="2" t="inlineStr">
        <is>
          <t>si</t>
        </is>
      </c>
    </row>
    <row r="515">
      <c r="A515" t="inlineStr">
        <is>
          <t>LU0849399786</t>
        </is>
      </c>
      <c r="B515" t="inlineStr">
        <is>
          <t>LU0849399786.EUFUND</t>
        </is>
      </c>
      <c r="C515" t="inlineStr">
        <is>
          <t>FUND</t>
        </is>
      </c>
      <c r="D515" t="inlineStr">
        <is>
          <t>FIXED_INCOME</t>
        </is>
      </c>
      <c r="E515" t="inlineStr">
        <is>
          <t>fondos-bonos</t>
        </is>
      </c>
      <c r="F515" t="inlineStr">
        <is>
          <t>Schroder International Selection Fund EURO High Yield A Accumulation</t>
        </is>
      </c>
      <c r="G515" t="inlineStr">
        <is>
          <t>EUR</t>
        </is>
      </c>
      <c r="H515" s="2" t="inlineStr">
        <is>
          <t>si</t>
        </is>
      </c>
    </row>
    <row r="516">
      <c r="A516" t="inlineStr">
        <is>
          <t>LU0189895229</t>
        </is>
      </c>
      <c r="B516" t="inlineStr">
        <is>
          <t>LU0189895229.EUFUND</t>
        </is>
      </c>
      <c r="C516" t="inlineStr">
        <is>
          <t>FUND</t>
        </is>
      </c>
      <c r="D516" t="inlineStr">
        <is>
          <t>FIXED_INCOME</t>
        </is>
      </c>
      <c r="E516" t="inlineStr">
        <is>
          <t>fondos-bonos</t>
        </is>
      </c>
      <c r="F516" t="inlineStr">
        <is>
          <t>Schroder International Selection Fund Global High Yield B Accumulation EUR Hedged</t>
        </is>
      </c>
      <c r="G516" t="inlineStr">
        <is>
          <t>EUR</t>
        </is>
      </c>
      <c r="H516" s="2" t="inlineStr">
        <is>
          <t>si</t>
        </is>
      </c>
    </row>
    <row r="517">
      <c r="A517" t="inlineStr">
        <is>
          <t>ES0141580037</t>
        </is>
      </c>
      <c r="B517" t="inlineStr">
        <is>
          <t>ES0141580037.EUFUND</t>
        </is>
      </c>
      <c r="C517" t="inlineStr">
        <is>
          <t>FUND</t>
        </is>
      </c>
      <c r="D517" t="inlineStr">
        <is>
          <t>FIXED_INCOME</t>
        </is>
      </c>
      <c r="E517" t="inlineStr">
        <is>
          <t>fondos-bonos</t>
        </is>
      </c>
      <c r="F517" t="inlineStr">
        <is>
          <t>SIGMA INVESTMENT HOUSE AHORRO  FI</t>
        </is>
      </c>
      <c r="G517" t="inlineStr">
        <is>
          <t>EUR</t>
        </is>
      </c>
      <c r="H517" s="2" t="inlineStr">
        <is>
          <t>si</t>
        </is>
      </c>
    </row>
    <row r="518">
      <c r="A518" t="inlineStr">
        <is>
          <t>ES0142167032</t>
        </is>
      </c>
      <c r="B518" t="inlineStr">
        <is>
          <t>ES0142167032.EUFUND</t>
        </is>
      </c>
      <c r="C518" t="inlineStr">
        <is>
          <t>FUND</t>
        </is>
      </c>
      <c r="D518" t="inlineStr">
        <is>
          <t>FIXED_INCOME</t>
        </is>
      </c>
      <c r="E518" t="inlineStr">
        <is>
          <t>fondos-bonos</t>
        </is>
      </c>
      <c r="F518" t="inlineStr">
        <is>
          <t>SIGMA INVESTMENT HOUSE RENTA FIJA  FI</t>
        </is>
      </c>
      <c r="G518" t="inlineStr">
        <is>
          <t>EUR</t>
        </is>
      </c>
      <c r="H518" s="2" t="inlineStr">
        <is>
          <t>si</t>
        </is>
      </c>
    </row>
    <row r="519">
      <c r="A519" t="inlineStr">
        <is>
          <t>LU0447425785</t>
        </is>
      </c>
      <c r="B519" t="inlineStr">
        <is>
          <t>LU0447425785.EUFUND</t>
        </is>
      </c>
      <c r="C519" t="inlineStr">
        <is>
          <t>FUND</t>
        </is>
      </c>
      <c r="D519" t="inlineStr">
        <is>
          <t>FIXED_INCOME</t>
        </is>
      </c>
      <c r="E519" t="inlineStr">
        <is>
          <t>fondos-bonos</t>
        </is>
      </c>
      <c r="F519" t="inlineStr">
        <is>
          <t>SIH FCP - Short Term EUR A Classic</t>
        </is>
      </c>
      <c r="G519" t="inlineStr">
        <is>
          <t>EUR</t>
        </is>
      </c>
      <c r="H519" s="2" t="inlineStr">
        <is>
          <t>si</t>
        </is>
      </c>
    </row>
    <row r="520">
      <c r="A520" t="inlineStr">
        <is>
          <t>FR0011288513</t>
        </is>
      </c>
      <c r="B520" t="inlineStr">
        <is>
          <t>FR0011288513.EUFUND</t>
        </is>
      </c>
      <c r="C520" t="inlineStr">
        <is>
          <t>FUND</t>
        </is>
      </c>
      <c r="D520" t="inlineStr">
        <is>
          <t>FIXED_INCOME</t>
        </is>
      </c>
      <c r="E520" t="inlineStr">
        <is>
          <t>fondos-bonos</t>
        </is>
      </c>
      <c r="F520" t="inlineStr">
        <is>
          <t>Sycomore Sélection Crédit R</t>
        </is>
      </c>
      <c r="G520" t="inlineStr">
        <is>
          <t>EUR</t>
        </is>
      </c>
      <c r="H520" s="2" t="inlineStr">
        <is>
          <t>si</t>
        </is>
      </c>
    </row>
    <row r="521">
      <c r="A521" t="inlineStr">
        <is>
          <t>ES0168662031</t>
        </is>
      </c>
      <c r="B521" t="inlineStr">
        <is>
          <t>ES0168662031.EUFUND</t>
        </is>
      </c>
      <c r="C521" t="inlineStr">
        <is>
          <t>FUND</t>
        </is>
      </c>
      <c r="D521" t="inlineStr">
        <is>
          <t>FIXED_INCOME</t>
        </is>
      </c>
      <c r="E521" t="inlineStr">
        <is>
          <t>fondos-bonos</t>
        </is>
      </c>
      <c r="F521" t="inlineStr">
        <is>
          <t>TREA RENTA FIJA  FI</t>
        </is>
      </c>
      <c r="G521" t="inlineStr">
        <is>
          <t>EUR</t>
        </is>
      </c>
      <c r="H521" s="2" t="inlineStr">
        <is>
          <t>si</t>
        </is>
      </c>
    </row>
    <row r="522">
      <c r="A522" t="inlineStr">
        <is>
          <t>ES0125240038</t>
        </is>
      </c>
      <c r="B522" t="inlineStr">
        <is>
          <t>ES0125240038.EUFUND</t>
        </is>
      </c>
      <c r="C522" t="inlineStr">
        <is>
          <t>FUND</t>
        </is>
      </c>
      <c r="D522" t="inlineStr">
        <is>
          <t>FIXED_INCOME</t>
        </is>
      </c>
      <c r="E522" t="inlineStr">
        <is>
          <t>fondos-bonos</t>
        </is>
      </c>
      <c r="F522" t="inlineStr">
        <is>
          <t>TREA RENTA FIJA AHORRO  FI</t>
        </is>
      </c>
      <c r="G522" t="inlineStr">
        <is>
          <t>EUR</t>
        </is>
      </c>
      <c r="H522" s="2" t="inlineStr">
        <is>
          <t>si</t>
        </is>
      </c>
    </row>
    <row r="523">
      <c r="A523" t="inlineStr">
        <is>
          <t>LU0569862609</t>
        </is>
      </c>
      <c r="B523" t="inlineStr">
        <is>
          <t>LU0569862609.EUFUND</t>
        </is>
      </c>
      <c r="C523" t="inlineStr">
        <is>
          <t>FUND</t>
        </is>
      </c>
      <c r="D523" t="inlineStr">
        <is>
          <t>FIXED_INCOME</t>
        </is>
      </c>
      <c r="E523" t="inlineStr">
        <is>
          <t>fondos-bonos</t>
        </is>
      </c>
      <c r="F523" t="inlineStr">
        <is>
          <t>UBAM - Global High Yield Solution AHC EUR</t>
        </is>
      </c>
      <c r="G523" t="inlineStr">
        <is>
          <t>EUR</t>
        </is>
      </c>
      <c r="H523" s="2" t="inlineStr">
        <is>
          <t>si</t>
        </is>
      </c>
    </row>
    <row r="524">
      <c r="A524" t="inlineStr">
        <is>
          <t>LU0940719098</t>
        </is>
      </c>
      <c r="B524" t="inlineStr">
        <is>
          <t>LU0940719098.EUFUND</t>
        </is>
      </c>
      <c r="C524" t="inlineStr">
        <is>
          <t>FUND</t>
        </is>
      </c>
      <c r="D524" t="inlineStr">
        <is>
          <t>FIXED_INCOME</t>
        </is>
      </c>
      <c r="E524" t="inlineStr">
        <is>
          <t>fondos-bonos</t>
        </is>
      </c>
      <c r="F524" t="inlineStr">
        <is>
          <t>UBAM - Global High Yield Solution RHC EUR</t>
        </is>
      </c>
      <c r="G524" t="inlineStr">
        <is>
          <t>EUR</t>
        </is>
      </c>
      <c r="H524" s="2" t="inlineStr">
        <is>
          <t>si</t>
        </is>
      </c>
    </row>
    <row r="525">
      <c r="A525" t="inlineStr">
        <is>
          <t>LU0086177085</t>
        </is>
      </c>
      <c r="B525" t="inlineStr">
        <is>
          <t>LU0086177085.EUFUND</t>
        </is>
      </c>
      <c r="C525" t="inlineStr">
        <is>
          <t>FUND</t>
        </is>
      </c>
      <c r="D525" t="inlineStr">
        <is>
          <t>FIXED_INCOME</t>
        </is>
      </c>
      <c r="E525" t="inlineStr">
        <is>
          <t>fondos-bonos</t>
        </is>
      </c>
      <c r="F525" t="inlineStr">
        <is>
          <t>UBS (Lux) Bond Fund - Euro High Yield (EUR) P-acc</t>
        </is>
      </c>
      <c r="G525" t="inlineStr">
        <is>
          <t>EUR</t>
        </is>
      </c>
      <c r="H525" s="2" t="inlineStr">
        <is>
          <t>si</t>
        </is>
      </c>
    </row>
    <row r="526">
      <c r="A526" t="inlineStr">
        <is>
          <t>LU0203937692</t>
        </is>
      </c>
      <c r="B526" t="inlineStr">
        <is>
          <t>LU0203937692.EUFUND</t>
        </is>
      </c>
      <c r="C526" t="inlineStr">
        <is>
          <t>FUND</t>
        </is>
      </c>
      <c r="D526" t="inlineStr">
        <is>
          <t>FIXED_INCOME</t>
        </is>
      </c>
      <c r="E526" t="inlineStr">
        <is>
          <t>fondos-bonos</t>
        </is>
      </c>
      <c r="F526" t="inlineStr">
        <is>
          <t>UBS (Lux) Bond SICAV - Convert Global (EUR) P-acc</t>
        </is>
      </c>
      <c r="G526" t="inlineStr">
        <is>
          <t>EUR</t>
        </is>
      </c>
      <c r="H526" s="2" t="inlineStr">
        <is>
          <t>si</t>
        </is>
      </c>
    </row>
    <row r="527">
      <c r="A527" t="inlineStr">
        <is>
          <t>LU1679113404</t>
        </is>
      </c>
      <c r="B527" t="inlineStr">
        <is>
          <t>LU1679113404.EUFUND</t>
        </is>
      </c>
      <c r="C527" t="inlineStr">
        <is>
          <t>FUND</t>
        </is>
      </c>
      <c r="D527" t="inlineStr">
        <is>
          <t>FIXED_INCOME</t>
        </is>
      </c>
      <c r="E527" t="inlineStr">
        <is>
          <t>fondos-bonos</t>
        </is>
      </c>
      <c r="F527" t="inlineStr">
        <is>
          <t>UBS (Lux) Bond SICAV - Floating Rate Income (USD) (EUR hedged) P-acc</t>
        </is>
      </c>
      <c r="G527" t="inlineStr">
        <is>
          <t>EUR</t>
        </is>
      </c>
      <c r="H527" s="2" t="inlineStr">
        <is>
          <t>si</t>
        </is>
      </c>
    </row>
    <row r="528">
      <c r="A528" t="inlineStr">
        <is>
          <t>LU0455556406</t>
        </is>
      </c>
      <c r="B528" t="inlineStr">
        <is>
          <t>LU0455556406.EUFUND</t>
        </is>
      </c>
      <c r="C528" t="inlineStr">
        <is>
          <t>FUND</t>
        </is>
      </c>
      <c r="D528" t="inlineStr">
        <is>
          <t>FIXED_INCOME</t>
        </is>
      </c>
      <c r="E528" t="inlineStr">
        <is>
          <t>fondos-bonos</t>
        </is>
      </c>
      <c r="F528" t="inlineStr">
        <is>
          <t>UBS (Lux) Bond SICAV - Global Inflation-linked (USD) (EUR hedged) P-acc</t>
        </is>
      </c>
      <c r="G528" t="inlineStr">
        <is>
          <t>EUR</t>
        </is>
      </c>
      <c r="H528" s="2" t="inlineStr">
        <is>
          <t>si</t>
        </is>
      </c>
    </row>
    <row r="529">
      <c r="A529" t="inlineStr">
        <is>
          <t>LU0706127809</t>
        </is>
      </c>
      <c r="B529" t="inlineStr">
        <is>
          <t>LU0706127809.EUFUND</t>
        </is>
      </c>
      <c r="C529" t="inlineStr">
        <is>
          <t>FUND</t>
        </is>
      </c>
      <c r="D529" t="inlineStr">
        <is>
          <t>FIXED_INCOME</t>
        </is>
      </c>
      <c r="E529" t="inlineStr">
        <is>
          <t>fondos-bonos</t>
        </is>
      </c>
      <c r="F529" t="inlineStr">
        <is>
          <t>UBS (Lux) Bond SICAV - Global Short Term Flexible (USD) (EUR hedged) P-acc</t>
        </is>
      </c>
      <c r="G529" t="inlineStr">
        <is>
          <t>EUR</t>
        </is>
      </c>
      <c r="H529" s="2" t="inlineStr">
        <is>
          <t>si</t>
        </is>
      </c>
    </row>
    <row r="530">
      <c r="A530" t="inlineStr">
        <is>
          <t>ES0155598008</t>
        </is>
      </c>
      <c r="B530" t="inlineStr">
        <is>
          <t>ES0155598008.EUFUND</t>
        </is>
      </c>
      <c r="C530" t="inlineStr">
        <is>
          <t>FUND</t>
        </is>
      </c>
      <c r="D530" t="inlineStr">
        <is>
          <t>FIXED_INCOME</t>
        </is>
      </c>
      <c r="E530" t="inlineStr">
        <is>
          <t>fondos-bonos</t>
        </is>
      </c>
      <c r="F530" t="inlineStr">
        <is>
          <t>UBS CORTO PLAZO  FI - CLASE A</t>
        </is>
      </c>
      <c r="G530" t="inlineStr">
        <is>
          <t>EUR</t>
        </is>
      </c>
      <c r="H530" s="2" t="inlineStr">
        <is>
          <t>si</t>
        </is>
      </c>
    </row>
    <row r="531">
      <c r="A531" t="inlineStr">
        <is>
          <t>ES0155598032</t>
        </is>
      </c>
      <c r="B531" t="inlineStr">
        <is>
          <t>ES0155598032.EUFUND</t>
        </is>
      </c>
      <c r="C531" t="inlineStr">
        <is>
          <t>FUND</t>
        </is>
      </c>
      <c r="D531" t="inlineStr">
        <is>
          <t>FIXED_INCOME</t>
        </is>
      </c>
      <c r="E531" t="inlineStr">
        <is>
          <t>fondos-bonos</t>
        </is>
      </c>
      <c r="F531" t="inlineStr">
        <is>
          <t>UBS CORTO PLAZO  FI - CLASE B</t>
        </is>
      </c>
      <c r="G531" t="inlineStr">
        <is>
          <t>EUR</t>
        </is>
      </c>
      <c r="H531" s="2" t="inlineStr">
        <is>
          <t>si</t>
        </is>
      </c>
    </row>
    <row r="532">
      <c r="A532" t="inlineStr">
        <is>
          <t>ES0126547035</t>
        </is>
      </c>
      <c r="B532" t="inlineStr">
        <is>
          <t>ES0126547035.EUFUND</t>
        </is>
      </c>
      <c r="C532" t="inlineStr">
        <is>
          <t>FUND</t>
        </is>
      </c>
      <c r="D532" t="inlineStr">
        <is>
          <t>FIXED_INCOME</t>
        </is>
      </c>
      <c r="E532" t="inlineStr">
        <is>
          <t>fondos-bonos</t>
        </is>
      </c>
      <c r="F532" t="inlineStr">
        <is>
          <t>UBS DURACIÓN 0-2  FI</t>
        </is>
      </c>
      <c r="G532" t="inlineStr">
        <is>
          <t>EUR</t>
        </is>
      </c>
      <c r="H532" s="2" t="inlineStr">
        <is>
          <t>si</t>
        </is>
      </c>
    </row>
    <row r="533">
      <c r="A533" t="inlineStr">
        <is>
          <t>ES0124880032</t>
        </is>
      </c>
      <c r="B533" t="inlineStr">
        <is>
          <t>ES0124880032.EUFUND</t>
        </is>
      </c>
      <c r="C533" t="inlineStr">
        <is>
          <t>FUND</t>
        </is>
      </c>
      <c r="D533" t="inlineStr">
        <is>
          <t>FIXED_INCOME</t>
        </is>
      </c>
      <c r="E533" t="inlineStr">
        <is>
          <t>fondos-bonos</t>
        </is>
      </c>
      <c r="F533" t="inlineStr">
        <is>
          <t>UBS RENTA FIJA 0-5  FI</t>
        </is>
      </c>
      <c r="G533" t="inlineStr">
        <is>
          <t>EUR</t>
        </is>
      </c>
      <c r="H533" s="2" t="inlineStr">
        <is>
          <t>si</t>
        </is>
      </c>
    </row>
    <row r="534">
      <c r="A534" t="inlineStr">
        <is>
          <t>IE00B18GC888</t>
        </is>
      </c>
      <c r="B534" t="inlineStr">
        <is>
          <t>IE00B18GC888.EUFUND</t>
        </is>
      </c>
      <c r="C534" t="inlineStr">
        <is>
          <t>FUND</t>
        </is>
      </c>
      <c r="D534" t="inlineStr">
        <is>
          <t>FIXED_INCOME</t>
        </is>
      </c>
      <c r="E534" t="inlineStr">
        <is>
          <t>fondos-bonos</t>
        </is>
      </c>
      <c r="F534" t="inlineStr">
        <is>
          <t>Vanguard Global Bond Index Fund EUR Hedged Acc</t>
        </is>
      </c>
      <c r="G534" t="inlineStr">
        <is>
          <t>EUR</t>
        </is>
      </c>
      <c r="H534" s="2" t="inlineStr">
        <is>
          <t>si</t>
        </is>
      </c>
    </row>
    <row r="535">
      <c r="A535" t="inlineStr">
        <is>
          <t>LU0926439992</t>
        </is>
      </c>
      <c r="B535" t="inlineStr">
        <is>
          <t>LU0926439992.EUFUND</t>
        </is>
      </c>
      <c r="C535" t="inlineStr">
        <is>
          <t>FUND</t>
        </is>
      </c>
      <c r="D535" t="inlineStr">
        <is>
          <t>FIXED_INCOME</t>
        </is>
      </c>
      <c r="E535" t="inlineStr">
        <is>
          <t>fondos-bonos</t>
        </is>
      </c>
      <c r="F535" t="inlineStr">
        <is>
          <t>Vontobel Fund - Emerging Markets Debt H (hedged) EUR Cap</t>
        </is>
      </c>
      <c r="G535" t="inlineStr">
        <is>
          <t>EUR</t>
        </is>
      </c>
      <c r="H535" s="2" t="inlineStr">
        <is>
          <t>si</t>
        </is>
      </c>
    </row>
    <row r="536">
      <c r="A536" t="inlineStr">
        <is>
          <t>LU0137009238</t>
        </is>
      </c>
      <c r="B536" t="inlineStr">
        <is>
          <t>LU0137009238.EUFUND</t>
        </is>
      </c>
      <c r="C536" t="inlineStr">
        <is>
          <t>FUND</t>
        </is>
      </c>
      <c r="D536" t="inlineStr">
        <is>
          <t>FIXED_INCOME</t>
        </is>
      </c>
      <c r="E536" t="inlineStr">
        <is>
          <t>fondos-bonos</t>
        </is>
      </c>
      <c r="F536" t="inlineStr">
        <is>
          <t>Vontobel Fund - TwentyFour Euro Short Term Bond C EUR Cap</t>
        </is>
      </c>
      <c r="G536" t="inlineStr">
        <is>
          <t>EUR</t>
        </is>
      </c>
      <c r="H536" s="2" t="inlineStr">
        <is>
          <t>si</t>
        </is>
      </c>
    </row>
    <row r="537">
      <c r="A537" t="inlineStr">
        <is>
          <t>ES0162949012</t>
        </is>
      </c>
      <c r="B537" t="inlineStr">
        <is>
          <t>ES0162949012.EUFUND</t>
        </is>
      </c>
      <c r="C537" t="inlineStr">
        <is>
          <t>FUND</t>
        </is>
      </c>
      <c r="D537" t="inlineStr">
        <is>
          <t>MIXED</t>
        </is>
      </c>
      <c r="E537" t="inlineStr">
        <is>
          <t>fondos-mixtos</t>
        </is>
      </c>
      <c r="F537" t="inlineStr">
        <is>
          <t>ABANTE INDICE SELECCION  FI</t>
        </is>
      </c>
      <c r="G537" t="inlineStr">
        <is>
          <t>EUR</t>
        </is>
      </c>
      <c r="H537" s="2" t="inlineStr">
        <is>
          <t>si</t>
        </is>
      </c>
    </row>
    <row r="538">
      <c r="A538" t="inlineStr">
        <is>
          <t>ES0162946034</t>
        </is>
      </c>
      <c r="B538" t="inlineStr">
        <is>
          <t>ES0162946034.EUFUND</t>
        </is>
      </c>
      <c r="C538" t="inlineStr">
        <is>
          <t>FUND</t>
        </is>
      </c>
      <c r="D538" t="inlineStr">
        <is>
          <t>MIXED</t>
        </is>
      </c>
      <c r="E538" t="inlineStr">
        <is>
          <t>fondos-mixtos</t>
        </is>
      </c>
      <c r="F538" t="inlineStr">
        <is>
          <t>ABANTE SELECCION  FI</t>
        </is>
      </c>
      <c r="G538" t="inlineStr">
        <is>
          <t>EUR</t>
        </is>
      </c>
      <c r="H538" s="2" t="inlineStr">
        <is>
          <t>si</t>
        </is>
      </c>
    </row>
    <row r="539">
      <c r="A539" t="inlineStr">
        <is>
          <t>DE000A0X7541</t>
        </is>
      </c>
      <c r="B539" t="inlineStr">
        <is>
          <t>DE000A0X7541.EUFUND</t>
        </is>
      </c>
      <c r="C539" t="inlineStr">
        <is>
          <t>FUND</t>
        </is>
      </c>
      <c r="D539" t="inlineStr">
        <is>
          <t>MIXED</t>
        </is>
      </c>
      <c r="E539" t="inlineStr">
        <is>
          <t>fondos-mixtos</t>
        </is>
      </c>
      <c r="F539" t="inlineStr">
        <is>
          <t>Acatis Value Event Fonds A</t>
        </is>
      </c>
      <c r="G539" t="inlineStr">
        <is>
          <t>EUR</t>
        </is>
      </c>
      <c r="H539" s="2" t="inlineStr">
        <is>
          <t>si</t>
        </is>
      </c>
    </row>
    <row r="540">
      <c r="A540" t="inlineStr">
        <is>
          <t>IE00BYYPF474</t>
        </is>
      </c>
      <c r="B540" t="inlineStr">
        <is>
          <t>IE00BYYPF474.EUFUND</t>
        </is>
      </c>
      <c r="C540" t="inlineStr">
        <is>
          <t>FUND</t>
        </is>
      </c>
      <c r="D540" t="inlineStr">
        <is>
          <t>MIXED</t>
        </is>
      </c>
      <c r="E540" t="inlineStr">
        <is>
          <t>fondos-mixtos</t>
        </is>
      </c>
      <c r="F540" t="inlineStr">
        <is>
          <t>Aegon Global Diversified Income Fund EUR A Acc</t>
        </is>
      </c>
      <c r="G540" t="inlineStr">
        <is>
          <t>EUR</t>
        </is>
      </c>
      <c r="H540" s="2" t="inlineStr">
        <is>
          <t>si</t>
        </is>
      </c>
    </row>
    <row r="541">
      <c r="A541" t="inlineStr">
        <is>
          <t>IE00BYYPF581</t>
        </is>
      </c>
      <c r="B541" t="inlineStr">
        <is>
          <t>IE00BYYPF581.EUFUND</t>
        </is>
      </c>
      <c r="C541" t="inlineStr">
        <is>
          <t>FUND</t>
        </is>
      </c>
      <c r="D541" t="inlineStr">
        <is>
          <t>MIXED</t>
        </is>
      </c>
      <c r="E541" t="inlineStr">
        <is>
          <t>fondos-mixtos</t>
        </is>
      </c>
      <c r="F541" t="inlineStr">
        <is>
          <t>Aegon Global Diversified Income Fund EUR A Inc</t>
        </is>
      </c>
      <c r="G541" t="inlineStr">
        <is>
          <t>EUR</t>
        </is>
      </c>
      <c r="H541" s="2" t="inlineStr">
        <is>
          <t>si</t>
        </is>
      </c>
    </row>
    <row r="542">
      <c r="A542" t="inlineStr">
        <is>
          <t>LU1548496022</t>
        </is>
      </c>
      <c r="B542" t="inlineStr">
        <is>
          <t>LU1548496022.EUFUND</t>
        </is>
      </c>
      <c r="C542" t="inlineStr">
        <is>
          <t>FUND</t>
        </is>
      </c>
      <c r="D542" t="inlineStr">
        <is>
          <t>MIXED</t>
        </is>
      </c>
      <c r="E542" t="inlineStr">
        <is>
          <t>fondos-mixtos</t>
        </is>
      </c>
      <c r="F542" t="inlineStr">
        <is>
          <t>Allianz Global Investors Fund - Allianz Dynamic Multi Asset Strategy SRI 15 AT EUR</t>
        </is>
      </c>
      <c r="G542" t="inlineStr">
        <is>
          <t>EUR</t>
        </is>
      </c>
      <c r="H542" s="2" t="inlineStr">
        <is>
          <t>si</t>
        </is>
      </c>
    </row>
    <row r="543">
      <c r="A543" t="inlineStr">
        <is>
          <t>LU1594335520</t>
        </is>
      </c>
      <c r="B543" t="inlineStr">
        <is>
          <t>LU1594335520.EUFUND</t>
        </is>
      </c>
      <c r="C543" t="inlineStr">
        <is>
          <t>FUND</t>
        </is>
      </c>
      <c r="D543" t="inlineStr">
        <is>
          <t>MIXED</t>
        </is>
      </c>
      <c r="E543" t="inlineStr">
        <is>
          <t>fondos-mixtos</t>
        </is>
      </c>
      <c r="F543" t="inlineStr">
        <is>
          <t>Allianz Global Investors Fund - Allianz Dynamic Multi Asset Strategy SRI 75 AT EUR</t>
        </is>
      </c>
      <c r="G543" t="inlineStr">
        <is>
          <t>EUR</t>
        </is>
      </c>
      <c r="H543" s="2" t="inlineStr">
        <is>
          <t>si</t>
        </is>
      </c>
    </row>
    <row r="544">
      <c r="A544" t="inlineStr">
        <is>
          <t>LU1304666057</t>
        </is>
      </c>
      <c r="B544" t="inlineStr">
        <is>
          <t>LU1304666057.EUFUND</t>
        </is>
      </c>
      <c r="C544" t="inlineStr">
        <is>
          <t>FUND</t>
        </is>
      </c>
      <c r="D544" t="inlineStr">
        <is>
          <t>MIXED</t>
        </is>
      </c>
      <c r="E544" t="inlineStr">
        <is>
          <t>fondos-mixtos</t>
        </is>
      </c>
      <c r="F544" t="inlineStr">
        <is>
          <t>Allianz Global Investors Fund - Allianz Dynamic Multi Asset Strategy SRI 75 CT EUR</t>
        </is>
      </c>
      <c r="G544" t="inlineStr">
        <is>
          <t>EUR</t>
        </is>
      </c>
      <c r="H544" s="2" t="inlineStr">
        <is>
          <t>si</t>
        </is>
      </c>
    </row>
    <row r="545">
      <c r="A545" t="inlineStr">
        <is>
          <t>LU0352312184</t>
        </is>
      </c>
      <c r="B545" t="inlineStr">
        <is>
          <t>LU0352312184.EUFUND</t>
        </is>
      </c>
      <c r="C545" t="inlineStr">
        <is>
          <t>FUND</t>
        </is>
      </c>
      <c r="D545" t="inlineStr">
        <is>
          <t>MIXED</t>
        </is>
      </c>
      <c r="E545" t="inlineStr">
        <is>
          <t>fondos-mixtos</t>
        </is>
      </c>
      <c r="F545" t="inlineStr">
        <is>
          <t>Allianz Strategy 50 CT EUR</t>
        </is>
      </c>
      <c r="G545" t="inlineStr">
        <is>
          <t>EUR</t>
        </is>
      </c>
      <c r="H545" s="2" t="inlineStr">
        <is>
          <t>si</t>
        </is>
      </c>
    </row>
    <row r="546">
      <c r="A546" t="inlineStr">
        <is>
          <t>LU0352312853</t>
        </is>
      </c>
      <c r="B546" t="inlineStr">
        <is>
          <t>LU0352312853.EUFUND</t>
        </is>
      </c>
      <c r="C546" t="inlineStr">
        <is>
          <t>FUND</t>
        </is>
      </c>
      <c r="D546" t="inlineStr">
        <is>
          <t>MIXED</t>
        </is>
      </c>
      <c r="E546" t="inlineStr">
        <is>
          <t>fondos-mixtos</t>
        </is>
      </c>
      <c r="F546" t="inlineStr">
        <is>
          <t>Allianz Strategy 75 CT EUR</t>
        </is>
      </c>
      <c r="G546" t="inlineStr">
        <is>
          <t>EUR</t>
        </is>
      </c>
      <c r="H546" s="2" t="inlineStr">
        <is>
          <t>si</t>
        </is>
      </c>
    </row>
    <row r="547">
      <c r="A547" t="inlineStr">
        <is>
          <t>LU1882475392</t>
        </is>
      </c>
      <c r="B547" t="inlineStr">
        <is>
          <t>LU1882475392.EUFUND</t>
        </is>
      </c>
      <c r="C547" t="inlineStr">
        <is>
          <t>FUND</t>
        </is>
      </c>
      <c r="D547" t="inlineStr">
        <is>
          <t>MIXED</t>
        </is>
      </c>
      <c r="E547" t="inlineStr">
        <is>
          <t>fondos-mixtos</t>
        </is>
      </c>
      <c r="F547" t="inlineStr">
        <is>
          <t>Amundi Funds - Euro Multi-Asset Target Income A2 EUR (C)</t>
        </is>
      </c>
      <c r="G547" t="inlineStr">
        <is>
          <t>EUR</t>
        </is>
      </c>
      <c r="H547" s="2" t="inlineStr">
        <is>
          <t>si</t>
        </is>
      </c>
    </row>
    <row r="548">
      <c r="A548" t="inlineStr">
        <is>
          <t>LU1883327816</t>
        </is>
      </c>
      <c r="B548" t="inlineStr">
        <is>
          <t>LU1883327816.EUFUND</t>
        </is>
      </c>
      <c r="C548" t="inlineStr">
        <is>
          <t>FUND</t>
        </is>
      </c>
      <c r="D548" t="inlineStr">
        <is>
          <t>MIXED</t>
        </is>
      </c>
      <c r="E548" t="inlineStr">
        <is>
          <t>fondos-mixtos</t>
        </is>
      </c>
      <c r="F548" t="inlineStr">
        <is>
          <t>Amundi Funds - Global Multi-Asset A EUR (C)</t>
        </is>
      </c>
      <c r="G548" t="inlineStr">
        <is>
          <t>EUR</t>
        </is>
      </c>
      <c r="H548" s="2" t="inlineStr">
        <is>
          <t>si</t>
        </is>
      </c>
    </row>
    <row r="549">
      <c r="A549" t="inlineStr">
        <is>
          <t>LU1883329432</t>
        </is>
      </c>
      <c r="B549" t="inlineStr">
        <is>
          <t>LU1883329432.EUFUND</t>
        </is>
      </c>
      <c r="C549" t="inlineStr">
        <is>
          <t>FUND</t>
        </is>
      </c>
      <c r="D549" t="inlineStr">
        <is>
          <t>MIXED</t>
        </is>
      </c>
      <c r="E549" t="inlineStr">
        <is>
          <t>fondos-mixtos</t>
        </is>
      </c>
      <c r="F549" t="inlineStr">
        <is>
          <t>Amundi Funds - Global Multi-Asset Conservative A EUR (C)</t>
        </is>
      </c>
      <c r="G549" t="inlineStr">
        <is>
          <t>EUR</t>
        </is>
      </c>
      <c r="H549" s="2" t="inlineStr">
        <is>
          <t>si</t>
        </is>
      </c>
    </row>
    <row r="550">
      <c r="A550" t="inlineStr">
        <is>
          <t>LU1883330521</t>
        </is>
      </c>
      <c r="B550" t="inlineStr">
        <is>
          <t>LU1883330521.EUFUND</t>
        </is>
      </c>
      <c r="C550" t="inlineStr">
        <is>
          <t>FUND</t>
        </is>
      </c>
      <c r="D550" t="inlineStr">
        <is>
          <t>MIXED</t>
        </is>
      </c>
      <c r="E550" t="inlineStr">
        <is>
          <t>fondos-mixtos</t>
        </is>
      </c>
      <c r="F550" t="inlineStr">
        <is>
          <t>Amundi Funds - Global Multi-Asset Target Income A2 EUR (C)</t>
        </is>
      </c>
      <c r="G550" t="inlineStr">
        <is>
          <t>EUR</t>
        </is>
      </c>
      <c r="H550" s="2" t="inlineStr">
        <is>
          <t>si</t>
        </is>
      </c>
    </row>
    <row r="551">
      <c r="A551" t="inlineStr">
        <is>
          <t>LU1894680757</t>
        </is>
      </c>
      <c r="B551" t="inlineStr">
        <is>
          <t>LU1894680757.EUFUND</t>
        </is>
      </c>
      <c r="C551" t="inlineStr">
        <is>
          <t>FUND</t>
        </is>
      </c>
      <c r="D551" t="inlineStr">
        <is>
          <t>MIXED</t>
        </is>
      </c>
      <c r="E551" t="inlineStr">
        <is>
          <t>fondos-mixtos</t>
        </is>
      </c>
      <c r="F551" t="inlineStr">
        <is>
          <t>Amundi Funds - Income Opportunities A2 EUR (C)</t>
        </is>
      </c>
      <c r="G551" t="inlineStr">
        <is>
          <t>EUR</t>
        </is>
      </c>
      <c r="H551" s="2" t="inlineStr">
        <is>
          <t>si</t>
        </is>
      </c>
    </row>
    <row r="552">
      <c r="A552" t="inlineStr">
        <is>
          <t>LU1883340322</t>
        </is>
      </c>
      <c r="B552" t="inlineStr">
        <is>
          <t>LU1883340322.EUFUND</t>
        </is>
      </c>
      <c r="C552" t="inlineStr">
        <is>
          <t>FUND</t>
        </is>
      </c>
      <c r="D552" t="inlineStr">
        <is>
          <t>MIXED</t>
        </is>
      </c>
      <c r="E552" t="inlineStr">
        <is>
          <t>fondos-mixtos</t>
        </is>
      </c>
      <c r="F552" t="inlineStr">
        <is>
          <t>Amundi Funds - Pioneer Flexible Opportunities A EUR (C)</t>
        </is>
      </c>
      <c r="G552" t="inlineStr">
        <is>
          <t>EUR</t>
        </is>
      </c>
      <c r="H552" s="2" t="inlineStr">
        <is>
          <t>si</t>
        </is>
      </c>
    </row>
    <row r="553">
      <c r="A553" t="inlineStr">
        <is>
          <t>ES0112231016</t>
        </is>
      </c>
      <c r="B553" t="inlineStr">
        <is>
          <t>ES0112231016.EUFUND</t>
        </is>
      </c>
      <c r="C553" t="inlineStr">
        <is>
          <t>FUND</t>
        </is>
      </c>
      <c r="D553" t="inlineStr">
        <is>
          <t>MIXED</t>
        </is>
      </c>
      <c r="E553" t="inlineStr">
        <is>
          <t>fondos-mixtos</t>
        </is>
      </c>
      <c r="F553" t="inlineStr">
        <is>
          <t>AVANTAGE FUND  FI</t>
        </is>
      </c>
      <c r="G553" t="inlineStr">
        <is>
          <t>EUR</t>
        </is>
      </c>
      <c r="H553" s="2" t="inlineStr">
        <is>
          <t>si</t>
        </is>
      </c>
    </row>
    <row r="554">
      <c r="A554" t="inlineStr">
        <is>
          <t>LU0048293368</t>
        </is>
      </c>
      <c r="B554" t="inlineStr">
        <is>
          <t>LU0048293368.EUFUND</t>
        </is>
      </c>
      <c r="C554" t="inlineStr">
        <is>
          <t>FUND</t>
        </is>
      </c>
      <c r="D554" t="inlineStr">
        <is>
          <t>MIXED</t>
        </is>
      </c>
      <c r="E554" t="inlineStr">
        <is>
          <t>fondos-mixtos</t>
        </is>
      </c>
      <c r="F554" t="inlineStr">
        <is>
          <t>BL-Global 75 B EUR Acc</t>
        </is>
      </c>
      <c r="G554" t="inlineStr">
        <is>
          <t>EUR</t>
        </is>
      </c>
      <c r="H554" s="2" t="inlineStr">
        <is>
          <t>si</t>
        </is>
      </c>
    </row>
    <row r="555">
      <c r="A555" t="inlineStr">
        <is>
          <t>LU0093503497</t>
        </is>
      </c>
      <c r="B555" t="inlineStr">
        <is>
          <t>LU0093503497.EUFUND</t>
        </is>
      </c>
      <c r="C555" t="inlineStr">
        <is>
          <t>FUND</t>
        </is>
      </c>
      <c r="D555" t="inlineStr">
        <is>
          <t>MIXED</t>
        </is>
      </c>
      <c r="E555" t="inlineStr">
        <is>
          <t>fondos-mixtos</t>
        </is>
      </c>
      <c r="F555" t="inlineStr">
        <is>
          <t>BlackRock Global Funds - ESG Multi-Asset Fund A2</t>
        </is>
      </c>
      <c r="G555" t="inlineStr">
        <is>
          <t>EUR</t>
        </is>
      </c>
      <c r="H555" s="2" t="inlineStr">
        <is>
          <t>si</t>
        </is>
      </c>
    </row>
    <row r="556">
      <c r="A556" t="inlineStr">
        <is>
          <t>LU0093503737</t>
        </is>
      </c>
      <c r="B556" t="inlineStr">
        <is>
          <t>LU0093503737.EUFUND</t>
        </is>
      </c>
      <c r="C556" t="inlineStr">
        <is>
          <t>FUND</t>
        </is>
      </c>
      <c r="D556" t="inlineStr">
        <is>
          <t>MIXED</t>
        </is>
      </c>
      <c r="E556" t="inlineStr">
        <is>
          <t>fondos-mixtos</t>
        </is>
      </c>
      <c r="F556" t="inlineStr">
        <is>
          <t>BlackRock Global Funds - ESG Multi-Asset Fund E2</t>
        </is>
      </c>
      <c r="G556" t="inlineStr">
        <is>
          <t>EUR</t>
        </is>
      </c>
      <c r="H556" s="2" t="inlineStr">
        <is>
          <t>si</t>
        </is>
      </c>
    </row>
    <row r="557">
      <c r="A557" t="inlineStr">
        <is>
          <t>LU0171283459</t>
        </is>
      </c>
      <c r="B557" t="inlineStr">
        <is>
          <t>LU0171283459.EUFUND</t>
        </is>
      </c>
      <c r="C557" t="inlineStr">
        <is>
          <t>FUND</t>
        </is>
      </c>
      <c r="D557" t="inlineStr">
        <is>
          <t>MIXED</t>
        </is>
      </c>
      <c r="E557" t="inlineStr">
        <is>
          <t>fondos-mixtos</t>
        </is>
      </c>
      <c r="F557" t="inlineStr">
        <is>
          <t>BlackRock Global Funds - Global Allocation Fund A2</t>
        </is>
      </c>
      <c r="G557" t="inlineStr">
        <is>
          <t>EUR</t>
        </is>
      </c>
      <c r="H557" s="2" t="inlineStr">
        <is>
          <t>si</t>
        </is>
      </c>
    </row>
    <row r="558">
      <c r="A558" t="inlineStr">
        <is>
          <t>IE00B4Z6MP99</t>
        </is>
      </c>
      <c r="B558" t="inlineStr">
        <is>
          <t>IE00B4Z6MP99.EUFUND</t>
        </is>
      </c>
      <c r="C558" t="inlineStr">
        <is>
          <t>FUND</t>
        </is>
      </c>
      <c r="D558" t="inlineStr">
        <is>
          <t>MIXED</t>
        </is>
      </c>
      <c r="E558" t="inlineStr">
        <is>
          <t>fondos-mixtos</t>
        </is>
      </c>
      <c r="F558" t="inlineStr">
        <is>
          <t>BNY Mellon Global Real Return Fund (EUR) C Acc</t>
        </is>
      </c>
      <c r="G558" t="inlineStr">
        <is>
          <t>EUR</t>
        </is>
      </c>
      <c r="H558" s="2" t="inlineStr">
        <is>
          <t>si</t>
        </is>
      </c>
    </row>
    <row r="559">
      <c r="A559" t="inlineStr">
        <is>
          <t>ES0114904008</t>
        </is>
      </c>
      <c r="B559" t="inlineStr">
        <is>
          <t>ES0114904008.EUFUND</t>
        </is>
      </c>
      <c r="C559" t="inlineStr">
        <is>
          <t>FUND</t>
        </is>
      </c>
      <c r="D559" t="inlineStr">
        <is>
          <t>MIXED</t>
        </is>
      </c>
      <c r="E559" t="inlineStr">
        <is>
          <t>fondos-mixtos</t>
        </is>
      </c>
      <c r="F559" t="inlineStr">
        <is>
          <t>BRIGHTGATE FOCUS  FI</t>
        </is>
      </c>
      <c r="G559" t="inlineStr">
        <is>
          <t>EUR</t>
        </is>
      </c>
      <c r="H559" s="2" t="inlineStr">
        <is>
          <t>si</t>
        </is>
      </c>
    </row>
    <row r="560">
      <c r="A560" t="inlineStr">
        <is>
          <t>LU2278574715</t>
        </is>
      </c>
      <c r="B560" t="inlineStr">
        <is>
          <t>LU2278574715.EUFUND</t>
        </is>
      </c>
      <c r="C560" t="inlineStr">
        <is>
          <t>FUND</t>
        </is>
      </c>
      <c r="D560" t="inlineStr">
        <is>
          <t>MIXED</t>
        </is>
      </c>
      <c r="E560" t="inlineStr">
        <is>
          <t>fondos-mixtos</t>
        </is>
      </c>
      <c r="F560" t="inlineStr">
        <is>
          <t>Buy &amp; Hold Luxembourg B&amp;H Flexible Class 2</t>
        </is>
      </c>
      <c r="G560" t="inlineStr">
        <is>
          <t>EUR</t>
        </is>
      </c>
      <c r="H560" s="2" t="inlineStr">
        <is>
          <t>si</t>
        </is>
      </c>
    </row>
    <row r="561">
      <c r="A561" t="inlineStr">
        <is>
          <t>FR0010306142</t>
        </is>
      </c>
      <c r="B561" t="inlineStr">
        <is>
          <t>FR0010306142.EUFUND</t>
        </is>
      </c>
      <c r="C561" t="inlineStr">
        <is>
          <t>FUND</t>
        </is>
      </c>
      <c r="D561" t="inlineStr">
        <is>
          <t>MIXED</t>
        </is>
      </c>
      <c r="E561" t="inlineStr">
        <is>
          <t>fondos-mixtos</t>
        </is>
      </c>
      <c r="F561" t="inlineStr">
        <is>
          <t>Carmignac Patrimoine E EUR Acc</t>
        </is>
      </c>
      <c r="G561" t="inlineStr">
        <is>
          <t>EUR</t>
        </is>
      </c>
      <c r="H561" s="2" t="inlineStr">
        <is>
          <t>si</t>
        </is>
      </c>
    </row>
    <row r="562">
      <c r="A562" t="inlineStr">
        <is>
          <t>LU0592699093</t>
        </is>
      </c>
      <c r="B562" t="inlineStr">
        <is>
          <t>LU0592699093.EUFUND</t>
        </is>
      </c>
      <c r="C562" t="inlineStr">
        <is>
          <t>FUND</t>
        </is>
      </c>
      <c r="D562" t="inlineStr">
        <is>
          <t>MIXED</t>
        </is>
      </c>
      <c r="E562" t="inlineStr">
        <is>
          <t>fondos-mixtos</t>
        </is>
      </c>
      <c r="F562" t="inlineStr">
        <is>
          <t>Carmignac Portfolio Emerging Patrimoine E EUR Acc</t>
        </is>
      </c>
      <c r="G562" t="inlineStr">
        <is>
          <t>EUR</t>
        </is>
      </c>
      <c r="H562" s="2" t="inlineStr">
        <is>
          <t>si</t>
        </is>
      </c>
    </row>
    <row r="563">
      <c r="A563" t="inlineStr">
        <is>
          <t>LU1966822956</t>
        </is>
      </c>
      <c r="B563" t="inlineStr">
        <is>
          <t>LU1966822956.EUFUND</t>
        </is>
      </c>
      <c r="C563" t="inlineStr">
        <is>
          <t>FUND</t>
        </is>
      </c>
      <c r="D563" t="inlineStr">
        <is>
          <t>MIXED</t>
        </is>
      </c>
      <c r="E563" t="inlineStr">
        <is>
          <t>fondos-mixtos</t>
        </is>
      </c>
      <c r="F563" t="inlineStr">
        <is>
          <t>Cartesio Funds Income R</t>
        </is>
      </c>
      <c r="G563" t="inlineStr">
        <is>
          <t>EUR</t>
        </is>
      </c>
      <c r="H563" s="2" t="inlineStr">
        <is>
          <t>si</t>
        </is>
      </c>
    </row>
    <row r="564">
      <c r="A564" t="inlineStr">
        <is>
          <t>ES0116567035</t>
        </is>
      </c>
      <c r="B564" t="inlineStr">
        <is>
          <t>ES0116567035.EUFUND</t>
        </is>
      </c>
      <c r="C564" t="inlineStr">
        <is>
          <t>FUND</t>
        </is>
      </c>
      <c r="D564" t="inlineStr">
        <is>
          <t>MIXED</t>
        </is>
      </c>
      <c r="E564" t="inlineStr">
        <is>
          <t>fondos-mixtos</t>
        </is>
      </c>
      <c r="F564" t="inlineStr">
        <is>
          <t>CARTESIO X  FI</t>
        </is>
      </c>
      <c r="G564" t="inlineStr">
        <is>
          <t>EUR</t>
        </is>
      </c>
      <c r="H564" s="2" t="inlineStr">
        <is>
          <t>si</t>
        </is>
      </c>
    </row>
    <row r="565">
      <c r="A565" t="inlineStr">
        <is>
          <t>LU1298174530</t>
        </is>
      </c>
      <c r="B565" t="inlineStr">
        <is>
          <t>LU1298174530.EUFUND</t>
        </is>
      </c>
      <c r="C565" t="inlineStr">
        <is>
          <t>FUND</t>
        </is>
      </c>
      <c r="D565" t="inlineStr">
        <is>
          <t>MIXED</t>
        </is>
      </c>
      <c r="E565" t="inlineStr">
        <is>
          <t>fondos-mixtos</t>
        </is>
      </c>
      <c r="F565" t="inlineStr">
        <is>
          <t>CT (Lux) - Global Multi Asset Income Class AE (EUR Accumulation Shares)</t>
        </is>
      </c>
      <c r="G565" t="inlineStr">
        <is>
          <t>EUR</t>
        </is>
      </c>
      <c r="H565" s="2" t="inlineStr">
        <is>
          <t>si</t>
        </is>
      </c>
    </row>
    <row r="566">
      <c r="A566" t="inlineStr">
        <is>
          <t>LU0512121004</t>
        </is>
      </c>
      <c r="B566" t="inlineStr">
        <is>
          <t>LU0512121004.EUFUND</t>
        </is>
      </c>
      <c r="C566" t="inlineStr">
        <is>
          <t>FUND</t>
        </is>
      </c>
      <c r="D566" t="inlineStr">
        <is>
          <t>MIXED</t>
        </is>
      </c>
      <c r="E566" t="inlineStr">
        <is>
          <t>fondos-mixtos</t>
        </is>
      </c>
      <c r="F566" t="inlineStr">
        <is>
          <t>DNCA Invest Eurose Class B shares EUR</t>
        </is>
      </c>
      <c r="G566" t="inlineStr">
        <is>
          <t>EUR</t>
        </is>
      </c>
      <c r="H566" s="2" t="inlineStr">
        <is>
          <t>si</t>
        </is>
      </c>
    </row>
    <row r="567">
      <c r="A567" t="inlineStr">
        <is>
          <t>LU0284394821</t>
        </is>
      </c>
      <c r="B567" t="inlineStr">
        <is>
          <t>LU0284394821.EUFUND</t>
        </is>
      </c>
      <c r="C567" t="inlineStr">
        <is>
          <t>FUND</t>
        </is>
      </c>
      <c r="D567" t="inlineStr">
        <is>
          <t>MIXED</t>
        </is>
      </c>
      <c r="E567" t="inlineStr">
        <is>
          <t>fondos-mixtos</t>
        </is>
      </c>
      <c r="F567" t="inlineStr">
        <is>
          <t>DNCA Invest Évolutif B EUR</t>
        </is>
      </c>
      <c r="G567" t="inlineStr">
        <is>
          <t>EUR</t>
        </is>
      </c>
      <c r="H567" s="2" t="inlineStr">
        <is>
          <t>si</t>
        </is>
      </c>
    </row>
    <row r="568">
      <c r="A568" t="inlineStr">
        <is>
          <t>ES0128067008</t>
        </is>
      </c>
      <c r="B568" t="inlineStr">
        <is>
          <t>ES0128067008.EUFUND</t>
        </is>
      </c>
      <c r="C568" t="inlineStr">
        <is>
          <t>FUND</t>
        </is>
      </c>
      <c r="D568" t="inlineStr">
        <is>
          <t>MIXED</t>
        </is>
      </c>
      <c r="E568" t="inlineStr">
        <is>
          <t>fondos-mixtos</t>
        </is>
      </c>
      <c r="F568" t="inlineStr">
        <is>
          <t>DUX MIXTO VARIABLE  FI</t>
        </is>
      </c>
      <c r="G568" t="inlineStr">
        <is>
          <t>EUR</t>
        </is>
      </c>
      <c r="H568" s="2" t="inlineStr">
        <is>
          <t>si</t>
        </is>
      </c>
    </row>
    <row r="569">
      <c r="A569" t="inlineStr">
        <is>
          <t>LU0087412390</t>
        </is>
      </c>
      <c r="B569" t="inlineStr">
        <is>
          <t>LU0087412390.EUFUND</t>
        </is>
      </c>
      <c r="C569" t="inlineStr">
        <is>
          <t>FUND</t>
        </is>
      </c>
      <c r="D569" t="inlineStr">
        <is>
          <t>MIXED</t>
        </is>
      </c>
      <c r="E569" t="inlineStr">
        <is>
          <t>fondos-mixtos</t>
        </is>
      </c>
      <c r="F569" t="inlineStr">
        <is>
          <t>DWS Concept DJE Alpha Renten Global LC</t>
        </is>
      </c>
      <c r="G569" t="inlineStr">
        <is>
          <t>EUR</t>
        </is>
      </c>
      <c r="H569" s="2" t="inlineStr">
        <is>
          <t>si</t>
        </is>
      </c>
    </row>
    <row r="570">
      <c r="A570" t="inlineStr">
        <is>
          <t>LU0599946893</t>
        </is>
      </c>
      <c r="B570" t="inlineStr">
        <is>
          <t>LU0599946893.EUFUND</t>
        </is>
      </c>
      <c r="C570" t="inlineStr">
        <is>
          <t>FUND</t>
        </is>
      </c>
      <c r="D570" t="inlineStr">
        <is>
          <t>MIXED</t>
        </is>
      </c>
      <c r="E570" t="inlineStr">
        <is>
          <t>fondos-mixtos</t>
        </is>
      </c>
      <c r="F570" t="inlineStr">
        <is>
          <t>DWS Concept Kaldemorgen EUR LC</t>
        </is>
      </c>
      <c r="G570" t="inlineStr">
        <is>
          <t>EUR</t>
        </is>
      </c>
      <c r="H570" s="2" t="inlineStr">
        <is>
          <t>si</t>
        </is>
      </c>
    </row>
    <row r="571">
      <c r="A571" t="inlineStr">
        <is>
          <t>LU0599947198</t>
        </is>
      </c>
      <c r="B571" t="inlineStr">
        <is>
          <t>LU0599947198.EUFUND</t>
        </is>
      </c>
      <c r="C571" t="inlineStr">
        <is>
          <t>FUND</t>
        </is>
      </c>
      <c r="D571" t="inlineStr">
        <is>
          <t>MIXED</t>
        </is>
      </c>
      <c r="E571" t="inlineStr">
        <is>
          <t>fondos-mixtos</t>
        </is>
      </c>
      <c r="F571" t="inlineStr">
        <is>
          <t>DWS Concept Kaldemorgen EUR NC</t>
        </is>
      </c>
      <c r="G571" t="inlineStr">
        <is>
          <t>EUR</t>
        </is>
      </c>
      <c r="H571" s="2" t="inlineStr">
        <is>
          <t>si</t>
        </is>
      </c>
    </row>
    <row r="572">
      <c r="A572" t="inlineStr">
        <is>
          <t>DE000DWS17J0</t>
        </is>
      </c>
      <c r="B572" t="inlineStr">
        <is>
          <t>DE000DWS17J0.EUFUND</t>
        </is>
      </c>
      <c r="C572" t="inlineStr">
        <is>
          <t>FUND</t>
        </is>
      </c>
      <c r="D572" t="inlineStr">
        <is>
          <t>MIXED</t>
        </is>
      </c>
      <c r="E572" t="inlineStr">
        <is>
          <t>fondos-mixtos</t>
        </is>
      </c>
      <c r="F572" t="inlineStr">
        <is>
          <t>DWS ESG Dynamic Opportunities LC</t>
        </is>
      </c>
      <c r="G572" t="inlineStr">
        <is>
          <t>EUR</t>
        </is>
      </c>
      <c r="H572" s="2" t="inlineStr">
        <is>
          <t>si</t>
        </is>
      </c>
    </row>
    <row r="573">
      <c r="A573" t="inlineStr">
        <is>
          <t>LU2050544563</t>
        </is>
      </c>
      <c r="B573" t="inlineStr">
        <is>
          <t>LU2050544563.EUFUND</t>
        </is>
      </c>
      <c r="C573" t="inlineStr">
        <is>
          <t>FUND</t>
        </is>
      </c>
      <c r="D573" t="inlineStr">
        <is>
          <t>MIXED</t>
        </is>
      </c>
      <c r="E573" t="inlineStr">
        <is>
          <t>fondos-mixtos</t>
        </is>
      </c>
      <c r="F573" t="inlineStr">
        <is>
          <t>DWS ESG Multi Asset Dynamic LC</t>
        </is>
      </c>
      <c r="G573" t="inlineStr">
        <is>
          <t>EUR</t>
        </is>
      </c>
      <c r="H573" s="2" t="inlineStr">
        <is>
          <t>si</t>
        </is>
      </c>
    </row>
    <row r="574">
      <c r="A574" t="inlineStr">
        <is>
          <t>DE0005318406</t>
        </is>
      </c>
      <c r="B574" t="inlineStr">
        <is>
          <t>DE0005318406.EUFUND</t>
        </is>
      </c>
      <c r="C574" t="inlineStr">
        <is>
          <t>FUND</t>
        </is>
      </c>
      <c r="D574" t="inlineStr">
        <is>
          <t>MIXED</t>
        </is>
      </c>
      <c r="E574" t="inlineStr">
        <is>
          <t>fondos-mixtos</t>
        </is>
      </c>
      <c r="F574" t="inlineStr">
        <is>
          <t>DWS ESG Stiftungsfonds LD</t>
        </is>
      </c>
      <c r="G574" t="inlineStr">
        <is>
          <t>EUR</t>
        </is>
      </c>
      <c r="H574" s="2" t="inlineStr">
        <is>
          <t>si</t>
        </is>
      </c>
    </row>
    <row r="575">
      <c r="A575" t="inlineStr">
        <is>
          <t>LU1868537090</t>
        </is>
      </c>
      <c r="B575" t="inlineStr">
        <is>
          <t>LU1868537090.EUFUND</t>
        </is>
      </c>
      <c r="C575" t="inlineStr">
        <is>
          <t>FUND</t>
        </is>
      </c>
      <c r="D575" t="inlineStr">
        <is>
          <t>MIXED</t>
        </is>
      </c>
      <c r="E575" t="inlineStr">
        <is>
          <t>fondos-mixtos</t>
        </is>
      </c>
      <c r="F575" t="inlineStr">
        <is>
          <t>DWS Invest ESG Dynamic Opportunities LC</t>
        </is>
      </c>
      <c r="G575" t="inlineStr">
        <is>
          <t>EUR</t>
        </is>
      </c>
      <c r="H575" s="2" t="inlineStr">
        <is>
          <t>si</t>
        </is>
      </c>
    </row>
    <row r="576">
      <c r="A576" t="inlineStr">
        <is>
          <t>LU1961009468</t>
        </is>
      </c>
      <c r="B576" t="inlineStr">
        <is>
          <t>LU1961009468.EUFUND</t>
        </is>
      </c>
      <c r="C576" t="inlineStr">
        <is>
          <t>FUND</t>
        </is>
      </c>
      <c r="D576" t="inlineStr">
        <is>
          <t>MIXED</t>
        </is>
      </c>
      <c r="E576" t="inlineStr">
        <is>
          <t>fondos-mixtos</t>
        </is>
      </c>
      <c r="F576" t="inlineStr">
        <is>
          <t>DWS Strategic Allocation Balance NC</t>
        </is>
      </c>
      <c r="G576" t="inlineStr">
        <is>
          <t>EUR</t>
        </is>
      </c>
      <c r="H576" s="2" t="inlineStr">
        <is>
          <t>si</t>
        </is>
      </c>
    </row>
    <row r="577">
      <c r="A577" t="inlineStr">
        <is>
          <t>LU1740985814</t>
        </is>
      </c>
      <c r="B577" t="inlineStr">
        <is>
          <t>LU1740985814.EUFUND</t>
        </is>
      </c>
      <c r="C577" t="inlineStr">
        <is>
          <t>FUND</t>
        </is>
      </c>
      <c r="D577" t="inlineStr">
        <is>
          <t>MIXED</t>
        </is>
      </c>
      <c r="E577" t="inlineStr">
        <is>
          <t>fondos-mixtos</t>
        </is>
      </c>
      <c r="F577" t="inlineStr">
        <is>
          <t>DWS Strategic Allocation Dynamic LD</t>
        </is>
      </c>
      <c r="G577" t="inlineStr">
        <is>
          <t>EUR</t>
        </is>
      </c>
      <c r="H577" s="2" t="inlineStr">
        <is>
          <t>si</t>
        </is>
      </c>
    </row>
    <row r="578">
      <c r="A578" t="inlineStr">
        <is>
          <t>LU1276000236</t>
        </is>
      </c>
      <c r="B578" t="inlineStr">
        <is>
          <t>LU1276000236.EUFUND</t>
        </is>
      </c>
      <c r="C578" t="inlineStr">
        <is>
          <t>FUND</t>
        </is>
      </c>
      <c r="D578" t="inlineStr">
        <is>
          <t>MIXED</t>
        </is>
      </c>
      <c r="E578" t="inlineStr">
        <is>
          <t>fondos-mixtos</t>
        </is>
      </c>
      <c r="F578" t="inlineStr">
        <is>
          <t>Edmond de Rothschild Fund - Income Europe R EUR</t>
        </is>
      </c>
      <c r="G578" t="inlineStr">
        <is>
          <t>EUR</t>
        </is>
      </c>
      <c r="H578" s="2" t="inlineStr">
        <is>
          <t>si</t>
        </is>
      </c>
    </row>
    <row r="579">
      <c r="A579" t="inlineStr">
        <is>
          <t>FR0010041822</t>
        </is>
      </c>
      <c r="B579" t="inlineStr">
        <is>
          <t>FR0010041822.EUFUND</t>
        </is>
      </c>
      <c r="C579" t="inlineStr">
        <is>
          <t>FUND</t>
        </is>
      </c>
      <c r="D579" t="inlineStr">
        <is>
          <t>MIXED</t>
        </is>
      </c>
      <c r="E579" t="inlineStr">
        <is>
          <t>fondos-mixtos</t>
        </is>
      </c>
      <c r="F579" t="inlineStr">
        <is>
          <t>Edmond de Rothschild Patrimoine A</t>
        </is>
      </c>
      <c r="G579" t="inlineStr">
        <is>
          <t>EUR</t>
        </is>
      </c>
      <c r="H579" s="2" t="inlineStr">
        <is>
          <t>si</t>
        </is>
      </c>
    </row>
    <row r="580">
      <c r="A580" t="inlineStr">
        <is>
          <t>FR0013219243</t>
        </is>
      </c>
      <c r="B580" t="inlineStr">
        <is>
          <t>FR0013219243.EUFUND</t>
        </is>
      </c>
      <c r="C580" t="inlineStr">
        <is>
          <t>FUND</t>
        </is>
      </c>
      <c r="D580" t="inlineStr">
        <is>
          <t>MIXED</t>
        </is>
      </c>
      <c r="E580" t="inlineStr">
        <is>
          <t>fondos-mixtos</t>
        </is>
      </c>
      <c r="F580" t="inlineStr">
        <is>
          <t>EdR SICAV - Equity Euro Solve A EUR</t>
        </is>
      </c>
      <c r="G580" t="inlineStr">
        <is>
          <t>EUR</t>
        </is>
      </c>
      <c r="H580" s="2" t="inlineStr">
        <is>
          <t>si</t>
        </is>
      </c>
    </row>
    <row r="581">
      <c r="A581" t="inlineStr">
        <is>
          <t>LU0251131362</t>
        </is>
      </c>
      <c r="B581" t="inlineStr">
        <is>
          <t>LU0251131362.EUFUND</t>
        </is>
      </c>
      <c r="C581" t="inlineStr">
        <is>
          <t>FUND</t>
        </is>
      </c>
      <c r="D581" t="inlineStr">
        <is>
          <t>MIXED</t>
        </is>
      </c>
      <c r="E581" t="inlineStr">
        <is>
          <t>fondos-mixtos</t>
        </is>
      </c>
      <c r="F581" t="inlineStr">
        <is>
          <t>Fidelity Funds - Fidelity Target™ 2030 Fund A-Acc-EUR</t>
        </is>
      </c>
      <c r="G581" t="inlineStr">
        <is>
          <t>EUR</t>
        </is>
      </c>
      <c r="H581" s="2" t="inlineStr">
        <is>
          <t>si</t>
        </is>
      </c>
    </row>
    <row r="582">
      <c r="A582" t="inlineStr">
        <is>
          <t>LU0251119078</t>
        </is>
      </c>
      <c r="B582" t="inlineStr">
        <is>
          <t>LU0251119078.EUFUND</t>
        </is>
      </c>
      <c r="C582" t="inlineStr">
        <is>
          <t>FUND</t>
        </is>
      </c>
      <c r="D582" t="inlineStr">
        <is>
          <t>MIXED</t>
        </is>
      </c>
      <c r="E582" t="inlineStr">
        <is>
          <t>fondos-mixtos</t>
        </is>
      </c>
      <c r="F582" t="inlineStr">
        <is>
          <t>Fidelity Funds - Fidelity Target™ 2035 Fund A-Acc-EUR</t>
        </is>
      </c>
      <c r="G582" t="inlineStr">
        <is>
          <t>EUR</t>
        </is>
      </c>
      <c r="H582" s="2" t="inlineStr">
        <is>
          <t>si</t>
        </is>
      </c>
    </row>
    <row r="583">
      <c r="A583" t="inlineStr">
        <is>
          <t>LU1095739733</t>
        </is>
      </c>
      <c r="B583" t="inlineStr">
        <is>
          <t>LU1095739733.EUFUND</t>
        </is>
      </c>
      <c r="C583" t="inlineStr">
        <is>
          <t>FUND</t>
        </is>
      </c>
      <c r="D583" t="inlineStr">
        <is>
          <t>MIXED</t>
        </is>
      </c>
      <c r="E583" t="inlineStr">
        <is>
          <t>fondos-mixtos</t>
        </is>
      </c>
      <c r="F583" t="inlineStr">
        <is>
          <t>First Eagle Amundi Income Builder Fund Class AE-QD Shares</t>
        </is>
      </c>
      <c r="G583" t="inlineStr">
        <is>
          <t>EUR</t>
        </is>
      </c>
      <c r="H583" s="2" t="inlineStr">
        <is>
          <t>si</t>
        </is>
      </c>
    </row>
    <row r="584">
      <c r="A584" t="inlineStr">
        <is>
          <t>LU0565135745</t>
        </is>
      </c>
      <c r="B584" t="inlineStr">
        <is>
          <t>LU0565135745.EUFUND</t>
        </is>
      </c>
      <c r="C584" t="inlineStr">
        <is>
          <t>FUND</t>
        </is>
      </c>
      <c r="D584" t="inlineStr">
        <is>
          <t>MIXED</t>
        </is>
      </c>
      <c r="E584" t="inlineStr">
        <is>
          <t>fondos-mixtos</t>
        </is>
      </c>
      <c r="F584" t="inlineStr">
        <is>
          <t>First Eagle Amundi International Fund Class AE-C Shares</t>
        </is>
      </c>
      <c r="G584" t="inlineStr">
        <is>
          <t>EUR</t>
        </is>
      </c>
      <c r="H584" s="2" t="inlineStr">
        <is>
          <t>si</t>
        </is>
      </c>
    </row>
    <row r="585">
      <c r="A585" t="inlineStr">
        <is>
          <t>LU0565136552</t>
        </is>
      </c>
      <c r="B585" t="inlineStr">
        <is>
          <t>LU0565136552.EUFUND</t>
        </is>
      </c>
      <c r="C585" t="inlineStr">
        <is>
          <t>FUND</t>
        </is>
      </c>
      <c r="D585" t="inlineStr">
        <is>
          <t>MIXED</t>
        </is>
      </c>
      <c r="E585" t="inlineStr">
        <is>
          <t>fondos-mixtos</t>
        </is>
      </c>
      <c r="F585" t="inlineStr">
        <is>
          <t>First Eagle Amundi International Fund Class FE-C Shares</t>
        </is>
      </c>
      <c r="G585" t="inlineStr">
        <is>
          <t>EUR</t>
        </is>
      </c>
      <c r="H585" s="2" t="inlineStr">
        <is>
          <t>si</t>
        </is>
      </c>
    </row>
    <row r="586">
      <c r="A586" t="inlineStr">
        <is>
          <t>LU1245470593</t>
        </is>
      </c>
      <c r="B586" t="inlineStr">
        <is>
          <t>LU1245470593.EUFUND</t>
        </is>
      </c>
      <c r="C586" t="inlineStr">
        <is>
          <t>FUND</t>
        </is>
      </c>
      <c r="D586" t="inlineStr">
        <is>
          <t>MIXED</t>
        </is>
      </c>
      <c r="E586" t="inlineStr">
        <is>
          <t>fondos-mixtos</t>
        </is>
      </c>
      <c r="F586" t="inlineStr">
        <is>
          <t>Flossbach von Storch - Multi Asset Defensive ET</t>
        </is>
      </c>
      <c r="G586" t="inlineStr">
        <is>
          <t>EUR</t>
        </is>
      </c>
      <c r="H586" s="2" t="inlineStr">
        <is>
          <t>si</t>
        </is>
      </c>
    </row>
    <row r="587">
      <c r="A587" t="inlineStr">
        <is>
          <t>LU1245469744</t>
        </is>
      </c>
      <c r="B587" t="inlineStr">
        <is>
          <t>LU1245469744.EUFUND</t>
        </is>
      </c>
      <c r="C587" t="inlineStr">
        <is>
          <t>FUND</t>
        </is>
      </c>
      <c r="D587" t="inlineStr">
        <is>
          <t>MIXED</t>
        </is>
      </c>
      <c r="E587" t="inlineStr">
        <is>
          <t>fondos-mixtos</t>
        </is>
      </c>
      <c r="F587" t="inlineStr">
        <is>
          <t>Flossbach von Storch - Multiple Opportunities II ET</t>
        </is>
      </c>
      <c r="G587" t="inlineStr">
        <is>
          <t>EUR</t>
        </is>
      </c>
      <c r="H587" s="2" t="inlineStr">
        <is>
          <t>si</t>
        </is>
      </c>
    </row>
    <row r="588">
      <c r="A588" t="inlineStr">
        <is>
          <t>ES0138936036</t>
        </is>
      </c>
      <c r="B588" t="inlineStr">
        <is>
          <t>ES0138936036.EUFUND</t>
        </is>
      </c>
      <c r="C588" t="inlineStr">
        <is>
          <t>FUND</t>
        </is>
      </c>
      <c r="D588" t="inlineStr">
        <is>
          <t>MIXED</t>
        </is>
      </c>
      <c r="E588" t="inlineStr">
        <is>
          <t>fondos-mixtos</t>
        </is>
      </c>
      <c r="F588" t="inlineStr">
        <is>
          <t>FONDIBAS  FI</t>
        </is>
      </c>
      <c r="G588" t="inlineStr">
        <is>
          <t>EUR</t>
        </is>
      </c>
      <c r="H588" s="2" t="inlineStr">
        <is>
          <t>si</t>
        </is>
      </c>
    </row>
    <row r="589">
      <c r="A589" t="inlineStr">
        <is>
          <t>ES0138930005</t>
        </is>
      </c>
      <c r="B589" t="inlineStr">
        <is>
          <t>ES0138930005.EUFUND</t>
        </is>
      </c>
      <c r="C589" t="inlineStr">
        <is>
          <t>FUND</t>
        </is>
      </c>
      <c r="D589" t="inlineStr">
        <is>
          <t>MIXED</t>
        </is>
      </c>
      <c r="E589" t="inlineStr">
        <is>
          <t>fondos-mixtos</t>
        </is>
      </c>
      <c r="F589" t="inlineStr">
        <is>
          <t>FONVALCEM  FI</t>
        </is>
      </c>
      <c r="G589" t="inlineStr">
        <is>
          <t>EUR</t>
        </is>
      </c>
      <c r="H589" s="2" t="inlineStr">
        <is>
          <t>si</t>
        </is>
      </c>
    </row>
    <row r="590">
      <c r="A590" t="inlineStr">
        <is>
          <t>ES0175604034</t>
        </is>
      </c>
      <c r="B590" t="inlineStr">
        <is>
          <t>ES0175604034.EUFUND</t>
        </is>
      </c>
      <c r="C590" t="inlineStr">
        <is>
          <t>FUND</t>
        </is>
      </c>
      <c r="D590" t="inlineStr">
        <is>
          <t>MIXED</t>
        </is>
      </c>
      <c r="E590" t="inlineStr">
        <is>
          <t>fondos-mixtos</t>
        </is>
      </c>
      <c r="F590" t="inlineStr">
        <is>
          <t>GESCONSULT LEON VALORES MIXTO FLEXIBLE  FI - CLASE A</t>
        </is>
      </c>
      <c r="G590" t="inlineStr">
        <is>
          <t>EUR</t>
        </is>
      </c>
      <c r="H590" s="2" t="inlineStr">
        <is>
          <t>si</t>
        </is>
      </c>
    </row>
    <row r="591">
      <c r="A591" t="inlineStr">
        <is>
          <t>ES0175604000</t>
        </is>
      </c>
      <c r="B591" t="inlineStr">
        <is>
          <t>ES0175604000.EUFUND</t>
        </is>
      </c>
      <c r="C591" t="inlineStr">
        <is>
          <t>FUND</t>
        </is>
      </c>
      <c r="D591" t="inlineStr">
        <is>
          <t>MIXED</t>
        </is>
      </c>
      <c r="E591" t="inlineStr">
        <is>
          <t>fondos-mixtos</t>
        </is>
      </c>
      <c r="F591" t="inlineStr">
        <is>
          <t>GESCONSULT LEON VALORES MIXTO FLEXIBLE  FI - CLASE B</t>
        </is>
      </c>
      <c r="G591" t="inlineStr">
        <is>
          <t>EUR</t>
        </is>
      </c>
      <c r="H591" s="2" t="inlineStr">
        <is>
          <t>si</t>
        </is>
      </c>
    </row>
    <row r="592">
      <c r="A592" t="inlineStr">
        <is>
          <t>ES0138217031</t>
        </is>
      </c>
      <c r="B592" t="inlineStr">
        <is>
          <t>ES0138217031.EUFUND</t>
        </is>
      </c>
      <c r="C592" t="inlineStr">
        <is>
          <t>FUND</t>
        </is>
      </c>
      <c r="D592" t="inlineStr">
        <is>
          <t>MIXED</t>
        </is>
      </c>
      <c r="E592" t="inlineStr">
        <is>
          <t>fondos-mixtos</t>
        </is>
      </c>
      <c r="F592" t="inlineStr">
        <is>
          <t>GESCONSULT RENTA FIJA FLEXIBLE  FI</t>
        </is>
      </c>
      <c r="G592" t="inlineStr">
        <is>
          <t>EUR</t>
        </is>
      </c>
      <c r="H592" s="2" t="inlineStr">
        <is>
          <t>si</t>
        </is>
      </c>
    </row>
    <row r="593">
      <c r="A593" t="inlineStr">
        <is>
          <t>ES0142046038</t>
        </is>
      </c>
      <c r="B593" t="inlineStr">
        <is>
          <t>ES0142046038.EUFUND</t>
        </is>
      </c>
      <c r="C593" t="inlineStr">
        <is>
          <t>FUND</t>
        </is>
      </c>
      <c r="D593" t="inlineStr">
        <is>
          <t>MIXED</t>
        </is>
      </c>
      <c r="E593" t="inlineStr">
        <is>
          <t>fondos-mixtos</t>
        </is>
      </c>
      <c r="F593" t="inlineStr">
        <is>
          <t>GESEM  FI</t>
        </is>
      </c>
      <c r="G593" t="inlineStr">
        <is>
          <t>EUR</t>
        </is>
      </c>
      <c r="H593" s="2" t="inlineStr">
        <is>
          <t>si</t>
        </is>
      </c>
    </row>
    <row r="594">
      <c r="A594" t="inlineStr">
        <is>
          <t>ES0131462022</t>
        </is>
      </c>
      <c r="B594" t="inlineStr">
        <is>
          <t>0P00017QSQ.F</t>
        </is>
      </c>
      <c r="C594" t="inlineStr">
        <is>
          <t>FUND</t>
        </is>
      </c>
      <c r="D594" t="inlineStr">
        <is>
          <t>MIXED</t>
        </is>
      </c>
      <c r="E594" t="inlineStr">
        <is>
          <t>fondos-mixtos</t>
        </is>
      </c>
      <c r="F594" t="inlineStr">
        <is>
          <t>GESTION BOUTIQUE V  FI</t>
        </is>
      </c>
      <c r="G594" t="inlineStr">
        <is>
          <t>EUR</t>
        </is>
      </c>
      <c r="H594" s="2" t="inlineStr">
        <is>
          <t>si</t>
        </is>
      </c>
    </row>
    <row r="595">
      <c r="A595" t="inlineStr">
        <is>
          <t>ES0110407006</t>
        </is>
      </c>
      <c r="B595" t="inlineStr">
        <is>
          <t>ES0110407006.EUFUND</t>
        </is>
      </c>
      <c r="C595" t="inlineStr">
        <is>
          <t>FUND</t>
        </is>
      </c>
      <c r="D595" t="inlineStr">
        <is>
          <t>MIXED</t>
        </is>
      </c>
      <c r="E595" t="inlineStr">
        <is>
          <t>fondos-mixtos</t>
        </is>
      </c>
      <c r="F595" t="inlineStr">
        <is>
          <t>GESTION BOUTIQUE VI  FI</t>
        </is>
      </c>
      <c r="G595" t="inlineStr">
        <is>
          <t>EUR</t>
        </is>
      </c>
      <c r="H595" s="2" t="inlineStr">
        <is>
          <t>si</t>
        </is>
      </c>
    </row>
    <row r="596">
      <c r="A596" t="inlineStr">
        <is>
          <t>ES0116848005</t>
        </is>
      </c>
      <c r="B596" t="inlineStr">
        <is>
          <t>ES0116848005.EUFUND</t>
        </is>
      </c>
      <c r="C596" t="inlineStr">
        <is>
          <t>FUND</t>
        </is>
      </c>
      <c r="D596" t="inlineStr">
        <is>
          <t>MIXED</t>
        </is>
      </c>
      <c r="E596" t="inlineStr">
        <is>
          <t>fondos-mixtos</t>
        </is>
      </c>
      <c r="F596" t="inlineStr">
        <is>
          <t>GLOBAL ALLOCATION  FI</t>
        </is>
      </c>
      <c r="G596" t="inlineStr">
        <is>
          <t>EUR</t>
        </is>
      </c>
      <c r="H596" s="2" t="inlineStr">
        <is>
          <t>si</t>
        </is>
      </c>
    </row>
    <row r="597">
      <c r="A597" t="inlineStr">
        <is>
          <t>LU0121216526</t>
        </is>
      </c>
      <c r="B597" t="inlineStr">
        <is>
          <t>LU0121216526.EUFUND</t>
        </is>
      </c>
      <c r="C597" t="inlineStr">
        <is>
          <t>FUND</t>
        </is>
      </c>
      <c r="D597" t="inlineStr">
        <is>
          <t>MIXED</t>
        </is>
      </c>
      <c r="E597" t="inlineStr">
        <is>
          <t>fondos-mixtos</t>
        </is>
      </c>
      <c r="F597" t="inlineStr">
        <is>
          <t>Goldman Sachs Patrimonial Aggressive - X Cap EUR</t>
        </is>
      </c>
      <c r="G597" t="inlineStr">
        <is>
          <t>EUR</t>
        </is>
      </c>
      <c r="H597" s="2" t="inlineStr">
        <is>
          <t>si</t>
        </is>
      </c>
    </row>
    <row r="598">
      <c r="A598" t="inlineStr">
        <is>
          <t>LU0119195963</t>
        </is>
      </c>
      <c r="B598" t="inlineStr">
        <is>
          <t>LU0119195963.EUFUND</t>
        </is>
      </c>
      <c r="C598" t="inlineStr">
        <is>
          <t>FUND</t>
        </is>
      </c>
      <c r="D598" t="inlineStr">
        <is>
          <t>MIXED</t>
        </is>
      </c>
      <c r="E598" t="inlineStr">
        <is>
          <t>fondos-mixtos</t>
        </is>
      </c>
      <c r="F598" t="inlineStr">
        <is>
          <t>Goldman Sachs Patrimonial Balanced - P Cap EUR</t>
        </is>
      </c>
      <c r="G598" t="inlineStr">
        <is>
          <t>EUR</t>
        </is>
      </c>
      <c r="H598" s="2" t="inlineStr">
        <is>
          <t>si</t>
        </is>
      </c>
    </row>
    <row r="599">
      <c r="A599" t="inlineStr">
        <is>
          <t>ES0148181003</t>
        </is>
      </c>
      <c r="B599" t="inlineStr">
        <is>
          <t>ES0148181003.EUFUND</t>
        </is>
      </c>
      <c r="C599" t="inlineStr">
        <is>
          <t>FUND</t>
        </is>
      </c>
      <c r="D599" t="inlineStr">
        <is>
          <t>MIXED</t>
        </is>
      </c>
      <c r="E599" t="inlineStr">
        <is>
          <t>fondos-mixtos</t>
        </is>
      </c>
      <c r="F599" t="inlineStr">
        <is>
          <t>INDEXA RV MIXTA INTERNACIONAL 75  FI</t>
        </is>
      </c>
      <c r="G599" t="inlineStr">
        <is>
          <t>EUR</t>
        </is>
      </c>
      <c r="H599" s="2" t="inlineStr">
        <is>
          <t>si</t>
        </is>
      </c>
    </row>
    <row r="600">
      <c r="A600" t="inlineStr">
        <is>
          <t>LU0243957239</t>
        </is>
      </c>
      <c r="B600" t="inlineStr">
        <is>
          <t>LU0243957239.EUFUND</t>
        </is>
      </c>
      <c r="C600" t="inlineStr">
        <is>
          <t>FUND</t>
        </is>
      </c>
      <c r="D600" t="inlineStr">
        <is>
          <t>MIXED</t>
        </is>
      </c>
      <c r="E600" t="inlineStr">
        <is>
          <t>fondos-mixtos</t>
        </is>
      </c>
      <c r="F600" t="inlineStr">
        <is>
          <t>Invesco Funds - Invesco Pan European High Income Fund A Accumulation EUR</t>
        </is>
      </c>
      <c r="G600" t="inlineStr">
        <is>
          <t>EUR</t>
        </is>
      </c>
      <c r="H600" s="2" t="inlineStr">
        <is>
          <t>si</t>
        </is>
      </c>
    </row>
    <row r="601">
      <c r="A601" t="inlineStr">
        <is>
          <t>LU0243957742</t>
        </is>
      </c>
      <c r="B601" t="inlineStr">
        <is>
          <t>LU0243957742.EUFUND</t>
        </is>
      </c>
      <c r="C601" t="inlineStr">
        <is>
          <t>FUND</t>
        </is>
      </c>
      <c r="D601" t="inlineStr">
        <is>
          <t>MIXED</t>
        </is>
      </c>
      <c r="E601" t="inlineStr">
        <is>
          <t>fondos-mixtos</t>
        </is>
      </c>
      <c r="F601" t="inlineStr">
        <is>
          <t>Invesco Funds - Invesco Pan European High Income Fund E Accumulation EUR</t>
        </is>
      </c>
      <c r="G601" t="inlineStr">
        <is>
          <t>EUR</t>
        </is>
      </c>
      <c r="H601" s="2" t="inlineStr">
        <is>
          <t>si</t>
        </is>
      </c>
    </row>
    <row r="602">
      <c r="A602" t="inlineStr">
        <is>
          <t>LU0404220724</t>
        </is>
      </c>
      <c r="B602" t="inlineStr">
        <is>
          <t>LU0404220724.EUFUND</t>
        </is>
      </c>
      <c r="C602" t="inlineStr">
        <is>
          <t>FUND</t>
        </is>
      </c>
      <c r="D602" t="inlineStr">
        <is>
          <t>MIXED</t>
        </is>
      </c>
      <c r="E602" t="inlineStr">
        <is>
          <t>fondos-mixtos</t>
        </is>
      </c>
      <c r="F602" t="inlineStr">
        <is>
          <t>JPMorgan Investment Funds - Global Income Fund D (div) EUR</t>
        </is>
      </c>
      <c r="G602" t="inlineStr">
        <is>
          <t>EUR</t>
        </is>
      </c>
      <c r="H602" s="2" t="inlineStr">
        <is>
          <t>si</t>
        </is>
      </c>
    </row>
    <row r="603">
      <c r="A603" t="inlineStr">
        <is>
          <t>LU1582988306</t>
        </is>
      </c>
      <c r="B603" t="inlineStr">
        <is>
          <t>LU1582988306.EUFUND</t>
        </is>
      </c>
      <c r="C603" t="inlineStr">
        <is>
          <t>FUND</t>
        </is>
      </c>
      <c r="D603" t="inlineStr">
        <is>
          <t>MIXED</t>
        </is>
      </c>
      <c r="E603" t="inlineStr">
        <is>
          <t>fondos-mixtos</t>
        </is>
      </c>
      <c r="F603" t="inlineStr">
        <is>
          <t>M&amp;G (Lux) Dynamic Allocation Fund EUR B Acc</t>
        </is>
      </c>
      <c r="G603" t="inlineStr">
        <is>
          <t>EUR</t>
        </is>
      </c>
      <c r="H603" s="2" t="inlineStr">
        <is>
          <t>si</t>
        </is>
      </c>
    </row>
    <row r="604">
      <c r="A604" t="inlineStr">
        <is>
          <t>ES0162211033</t>
        </is>
      </c>
      <c r="B604" t="inlineStr">
        <is>
          <t>ES0162211033.EUFUND</t>
        </is>
      </c>
      <c r="C604" t="inlineStr">
        <is>
          <t>FUND</t>
        </is>
      </c>
      <c r="D604" t="inlineStr">
        <is>
          <t>MIXED</t>
        </is>
      </c>
      <c r="E604" t="inlineStr">
        <is>
          <t>fondos-mixtos</t>
        </is>
      </c>
      <c r="F604" t="inlineStr">
        <is>
          <t>MERCH-EUROUNION  FI</t>
        </is>
      </c>
      <c r="G604" t="inlineStr">
        <is>
          <t>EUR</t>
        </is>
      </c>
      <c r="H604" s="2" t="inlineStr">
        <is>
          <t>si</t>
        </is>
      </c>
    </row>
    <row r="605">
      <c r="A605" t="inlineStr">
        <is>
          <t>ES0138914033</t>
        </is>
      </c>
      <c r="B605" t="inlineStr">
        <is>
          <t>ES0138914033.EUFUND</t>
        </is>
      </c>
      <c r="C605" t="inlineStr">
        <is>
          <t>FUND</t>
        </is>
      </c>
      <c r="D605" t="inlineStr">
        <is>
          <t>MIXED</t>
        </is>
      </c>
      <c r="E605" t="inlineStr">
        <is>
          <t>fondos-mixtos</t>
        </is>
      </c>
      <c r="F605" t="inlineStr">
        <is>
          <t>MERCH-FONTEMAR  FI</t>
        </is>
      </c>
      <c r="G605" t="inlineStr">
        <is>
          <t>EUR</t>
        </is>
      </c>
      <c r="H605" s="2" t="inlineStr">
        <is>
          <t>si</t>
        </is>
      </c>
    </row>
    <row r="606">
      <c r="A606" t="inlineStr">
        <is>
          <t>ES0162305033</t>
        </is>
      </c>
      <c r="B606" t="inlineStr">
        <is>
          <t>ES0162305033.EUFUND</t>
        </is>
      </c>
      <c r="C606" t="inlineStr">
        <is>
          <t>FUND</t>
        </is>
      </c>
      <c r="D606" t="inlineStr">
        <is>
          <t>MIXED</t>
        </is>
      </c>
      <c r="E606" t="inlineStr">
        <is>
          <t>fondos-mixtos</t>
        </is>
      </c>
      <c r="F606" t="inlineStr">
        <is>
          <t>MERCH-OPORTUNIDADES  FI</t>
        </is>
      </c>
      <c r="G606" t="inlineStr">
        <is>
          <t>EUR</t>
        </is>
      </c>
      <c r="H606" s="2" t="inlineStr">
        <is>
          <t>si</t>
        </is>
      </c>
    </row>
    <row r="607">
      <c r="A607" t="inlineStr">
        <is>
          <t>ES0182105033</t>
        </is>
      </c>
      <c r="B607" t="inlineStr">
        <is>
          <t>ES0182105033.EUFUND</t>
        </is>
      </c>
      <c r="C607" t="inlineStr">
        <is>
          <t>FUND</t>
        </is>
      </c>
      <c r="D607" t="inlineStr">
        <is>
          <t>MIXED</t>
        </is>
      </c>
      <c r="E607" t="inlineStr">
        <is>
          <t>fondos-mixtos</t>
        </is>
      </c>
      <c r="F607" t="inlineStr">
        <is>
          <t>MERCH-UNIVERSAL  FI</t>
        </is>
      </c>
      <c r="G607" t="inlineStr">
        <is>
          <t>EUR</t>
        </is>
      </c>
      <c r="H607" s="2" t="inlineStr">
        <is>
          <t>si</t>
        </is>
      </c>
    </row>
    <row r="608">
      <c r="A608" t="inlineStr">
        <is>
          <t>LU1442549025</t>
        </is>
      </c>
      <c r="B608" t="inlineStr">
        <is>
          <t>LU1442549025.EUFUND</t>
        </is>
      </c>
      <c r="C608" t="inlineStr">
        <is>
          <t>FUND</t>
        </is>
      </c>
      <c r="D608" t="inlineStr">
        <is>
          <t>MIXED</t>
        </is>
      </c>
      <c r="E608" t="inlineStr">
        <is>
          <t>fondos-mixtos</t>
        </is>
      </c>
      <c r="F608" t="inlineStr">
        <is>
          <t>MFS Meridian Funds - Prudent Capital Fund A1 EUR</t>
        </is>
      </c>
      <c r="G608" t="inlineStr">
        <is>
          <t>EUR</t>
        </is>
      </c>
      <c r="H608" s="2" t="inlineStr">
        <is>
          <t>si</t>
        </is>
      </c>
    </row>
    <row r="609">
      <c r="A609" t="inlineStr">
        <is>
          <t>LU0583242994</t>
        </is>
      </c>
      <c r="B609" t="inlineStr">
        <is>
          <t>LU0583242994.EUFUND</t>
        </is>
      </c>
      <c r="C609" t="inlineStr">
        <is>
          <t>FUND</t>
        </is>
      </c>
      <c r="D609" t="inlineStr">
        <is>
          <t>MIXED</t>
        </is>
      </c>
      <c r="E609" t="inlineStr">
        <is>
          <t>fondos-mixtos</t>
        </is>
      </c>
      <c r="F609" t="inlineStr">
        <is>
          <t>MFS Meridian Funds - Prudent Wealth Fund A1 EUR</t>
        </is>
      </c>
      <c r="G609" t="inlineStr">
        <is>
          <t>EUR</t>
        </is>
      </c>
      <c r="H609" s="2" t="inlineStr">
        <is>
          <t>si</t>
        </is>
      </c>
    </row>
    <row r="610">
      <c r="A610" t="inlineStr">
        <is>
          <t>LU0227385266</t>
        </is>
      </c>
      <c r="B610" t="inlineStr">
        <is>
          <t>LU0227385266.EUFUND</t>
        </is>
      </c>
      <c r="C610" t="inlineStr">
        <is>
          <t>FUND</t>
        </is>
      </c>
      <c r="D610" t="inlineStr">
        <is>
          <t>MIXED</t>
        </is>
      </c>
      <c r="E610" t="inlineStr">
        <is>
          <t>fondos-mixtos</t>
        </is>
      </c>
      <c r="F610" t="inlineStr">
        <is>
          <t>Nordea 1 - Stable Return Fund E EUR</t>
        </is>
      </c>
      <c r="G610" t="inlineStr">
        <is>
          <t>EUR</t>
        </is>
      </c>
      <c r="H610" s="2" t="inlineStr">
        <is>
          <t>si</t>
        </is>
      </c>
    </row>
    <row r="611">
      <c r="A611" t="inlineStr">
        <is>
          <t>ES0118537002</t>
        </is>
      </c>
      <c r="B611" t="inlineStr">
        <is>
          <t>ES0118537002.EUFUND</t>
        </is>
      </c>
      <c r="C611" t="inlineStr">
        <is>
          <t>FUND</t>
        </is>
      </c>
      <c r="D611" t="inlineStr">
        <is>
          <t>MIXED</t>
        </is>
      </c>
      <c r="E611" t="inlineStr">
        <is>
          <t>fondos-mixtos</t>
        </is>
      </c>
      <c r="F611" t="inlineStr">
        <is>
          <t>OLEA NEUTRAL  FI</t>
        </is>
      </c>
      <c r="G611" t="inlineStr">
        <is>
          <t>EUR</t>
        </is>
      </c>
      <c r="H611" s="2" t="inlineStr">
        <is>
          <t>si</t>
        </is>
      </c>
    </row>
    <row r="612">
      <c r="A612" t="inlineStr">
        <is>
          <t>FR0011253624</t>
        </is>
      </c>
      <c r="B612" t="inlineStr">
        <is>
          <t>FR0011253624.EUFUND</t>
        </is>
      </c>
      <c r="C612" t="inlineStr">
        <is>
          <t>FUND</t>
        </is>
      </c>
      <c r="D612" t="inlineStr">
        <is>
          <t>MIXED</t>
        </is>
      </c>
      <c r="E612" t="inlineStr">
        <is>
          <t>fondos-mixtos</t>
        </is>
      </c>
      <c r="F612" t="inlineStr">
        <is>
          <t>R-co Valor C EUR</t>
        </is>
      </c>
      <c r="G612" t="inlineStr">
        <is>
          <t>EUR</t>
        </is>
      </c>
      <c r="H612" s="2" t="inlineStr">
        <is>
          <t>si</t>
        </is>
      </c>
    </row>
    <row r="613">
      <c r="A613" t="inlineStr">
        <is>
          <t>FR0011261197</t>
        </is>
      </c>
      <c r="B613" t="inlineStr">
        <is>
          <t>FR0011261197.EUFUND</t>
        </is>
      </c>
      <c r="C613" t="inlineStr">
        <is>
          <t>FUND</t>
        </is>
      </c>
      <c r="D613" t="inlineStr">
        <is>
          <t>MIXED</t>
        </is>
      </c>
      <c r="E613" t="inlineStr">
        <is>
          <t>fondos-mixtos</t>
        </is>
      </c>
      <c r="F613" t="inlineStr">
        <is>
          <t>R-co Valor F EUR</t>
        </is>
      </c>
      <c r="G613" t="inlineStr">
        <is>
          <t>EUR</t>
        </is>
      </c>
      <c r="H613" s="2" t="inlineStr">
        <is>
          <t>si</t>
        </is>
      </c>
    </row>
    <row r="614">
      <c r="A614" t="inlineStr">
        <is>
          <t>ES0173323009</t>
        </is>
      </c>
      <c r="B614" t="inlineStr">
        <is>
          <t>ES0173323009.EUFUND</t>
        </is>
      </c>
      <c r="C614" t="inlineStr">
        <is>
          <t>FUND</t>
        </is>
      </c>
      <c r="D614" t="inlineStr">
        <is>
          <t>MIXED</t>
        </is>
      </c>
      <c r="E614" t="inlineStr">
        <is>
          <t>fondos-mixtos</t>
        </is>
      </c>
      <c r="F614" t="inlineStr">
        <is>
          <t>RENTA 4 WERTEFINDER  FI</t>
        </is>
      </c>
      <c r="G614" t="inlineStr">
        <is>
          <t>EUR</t>
        </is>
      </c>
      <c r="H614" s="2" t="inlineStr">
        <is>
          <t>si</t>
        </is>
      </c>
    </row>
    <row r="615">
      <c r="A615" t="inlineStr">
        <is>
          <t>FR0010286013</t>
        </is>
      </c>
      <c r="B615" t="inlineStr">
        <is>
          <t>FR0010286013.EUFUND</t>
        </is>
      </c>
      <c r="C615" t="inlineStr">
        <is>
          <t>FUND</t>
        </is>
      </c>
      <c r="D615" t="inlineStr">
        <is>
          <t>MIXED</t>
        </is>
      </c>
      <c r="E615" t="inlineStr">
        <is>
          <t>fondos-mixtos</t>
        </is>
      </c>
      <c r="F615" t="inlineStr">
        <is>
          <t>Sextant Grand Large A</t>
        </is>
      </c>
      <c r="G615" t="inlineStr">
        <is>
          <t>EUR</t>
        </is>
      </c>
      <c r="H615" s="2" t="inlineStr">
        <is>
          <t>si</t>
        </is>
      </c>
    </row>
    <row r="616">
      <c r="A616" t="inlineStr">
        <is>
          <t>ES0161992005</t>
        </is>
      </c>
      <c r="B616" t="inlineStr">
        <is>
          <t>ES0161992005.EUFUND</t>
        </is>
      </c>
      <c r="C616" t="inlineStr">
        <is>
          <t>FUND</t>
        </is>
      </c>
      <c r="D616" t="inlineStr">
        <is>
          <t>MIXED</t>
        </is>
      </c>
      <c r="E616" t="inlineStr">
        <is>
          <t>fondos-mixtos</t>
        </is>
      </c>
      <c r="F616" t="inlineStr">
        <is>
          <t>SIGMA INVESTMENT HOUSE CAPITAL  FI</t>
        </is>
      </c>
      <c r="G616" t="inlineStr">
        <is>
          <t>EUR</t>
        </is>
      </c>
      <c r="H616" s="2" t="inlineStr">
        <is>
          <t>si</t>
        </is>
      </c>
    </row>
    <row r="617">
      <c r="A617" t="inlineStr">
        <is>
          <t>LU1899018953</t>
        </is>
      </c>
      <c r="B617" t="inlineStr">
        <is>
          <t>LU1899018953.EUFUND</t>
        </is>
      </c>
      <c r="C617" t="inlineStr">
        <is>
          <t>FUND</t>
        </is>
      </c>
      <c r="D617" t="inlineStr">
        <is>
          <t>MIXED</t>
        </is>
      </c>
      <c r="E617" t="inlineStr">
        <is>
          <t>fondos-mixtos</t>
        </is>
      </c>
      <c r="F617" t="inlineStr">
        <is>
          <t>Sigma Investment House FCP - Best Blackrock Class A EUR Accumulation</t>
        </is>
      </c>
      <c r="G617" t="inlineStr">
        <is>
          <t>EUR</t>
        </is>
      </c>
      <c r="H617" s="2" t="inlineStr">
        <is>
          <t>si</t>
        </is>
      </c>
    </row>
    <row r="618">
      <c r="A618" t="inlineStr">
        <is>
          <t>LU1697018494</t>
        </is>
      </c>
      <c r="B618" t="inlineStr">
        <is>
          <t>LU1697018494.EUFUND</t>
        </is>
      </c>
      <c r="C618" t="inlineStr">
        <is>
          <t>FUND</t>
        </is>
      </c>
      <c r="D618" t="inlineStr">
        <is>
          <t>MIXED</t>
        </is>
      </c>
      <c r="E618" t="inlineStr">
        <is>
          <t>fondos-mixtos</t>
        </is>
      </c>
      <c r="F618" t="inlineStr">
        <is>
          <t>Sigma Investment House FCP - Best JP Morgan Class A EUR</t>
        </is>
      </c>
      <c r="G618" t="inlineStr">
        <is>
          <t>EUR</t>
        </is>
      </c>
      <c r="H618" s="2" t="inlineStr">
        <is>
          <t>si</t>
        </is>
      </c>
    </row>
    <row r="619">
      <c r="A619" t="inlineStr">
        <is>
          <t>LU1899018870</t>
        </is>
      </c>
      <c r="B619" t="inlineStr">
        <is>
          <t>LU1899018870.EUFUND</t>
        </is>
      </c>
      <c r="C619" t="inlineStr">
        <is>
          <t>FUND</t>
        </is>
      </c>
      <c r="D619" t="inlineStr">
        <is>
          <t>MIXED</t>
        </is>
      </c>
      <c r="E619" t="inlineStr">
        <is>
          <t>fondos-mixtos</t>
        </is>
      </c>
      <c r="F619" t="inlineStr">
        <is>
          <t>Sigma Investment House FCP - Best M&amp;G Class A EUR Accumulation</t>
        </is>
      </c>
      <c r="G619" t="inlineStr">
        <is>
          <t>EUR</t>
        </is>
      </c>
      <c r="H619" s="2" t="inlineStr">
        <is>
          <t>si</t>
        </is>
      </c>
    </row>
    <row r="620">
      <c r="A620" t="inlineStr">
        <is>
          <t>LU1697018064</t>
        </is>
      </c>
      <c r="B620" t="inlineStr">
        <is>
          <t>LU1697018064.EUFUND</t>
        </is>
      </c>
      <c r="C620" t="inlineStr">
        <is>
          <t>FUND</t>
        </is>
      </c>
      <c r="D620" t="inlineStr">
        <is>
          <t>MIXED</t>
        </is>
      </c>
      <c r="E620" t="inlineStr">
        <is>
          <t>fondos-mixtos</t>
        </is>
      </c>
      <c r="F620" t="inlineStr">
        <is>
          <t>Sigma Investment House FCP - Best Morgan Stanley Class A EUR</t>
        </is>
      </c>
      <c r="G620" t="inlineStr">
        <is>
          <t>EUR</t>
        </is>
      </c>
      <c r="H620" s="2" t="inlineStr">
        <is>
          <t>si</t>
        </is>
      </c>
    </row>
    <row r="621">
      <c r="A621" t="inlineStr">
        <is>
          <t>LU1697016019</t>
        </is>
      </c>
      <c r="B621" t="inlineStr">
        <is>
          <t>LU1697016019.EUFUND</t>
        </is>
      </c>
      <c r="C621" t="inlineStr">
        <is>
          <t>FUND</t>
        </is>
      </c>
      <c r="D621" t="inlineStr">
        <is>
          <t>MIXED</t>
        </is>
      </c>
      <c r="E621" t="inlineStr">
        <is>
          <t>fondos-mixtos</t>
        </is>
      </c>
      <c r="F621" t="inlineStr">
        <is>
          <t>Sigma Investment House FCP - Selection AggressiveClass A EUR</t>
        </is>
      </c>
      <c r="G621" t="inlineStr">
        <is>
          <t>EUR</t>
        </is>
      </c>
      <c r="H621" s="2" t="inlineStr">
        <is>
          <t>si</t>
        </is>
      </c>
    </row>
    <row r="622">
      <c r="A622" t="inlineStr">
        <is>
          <t>LU1697016878</t>
        </is>
      </c>
      <c r="B622" t="inlineStr">
        <is>
          <t>LU1697016878.EUFUND</t>
        </is>
      </c>
      <c r="C622" t="inlineStr">
        <is>
          <t>FUND</t>
        </is>
      </c>
      <c r="D622" t="inlineStr">
        <is>
          <t>MIXED</t>
        </is>
      </c>
      <c r="E622" t="inlineStr">
        <is>
          <t>fondos-mixtos</t>
        </is>
      </c>
      <c r="F622" t="inlineStr">
        <is>
          <t>Sigma Investment House FCP - Selection Conservative Class A EUR</t>
        </is>
      </c>
      <c r="G622" t="inlineStr">
        <is>
          <t>EUR</t>
        </is>
      </c>
      <c r="H622" s="2" t="inlineStr">
        <is>
          <t>si</t>
        </is>
      </c>
    </row>
    <row r="623">
      <c r="A623" t="inlineStr">
        <is>
          <t>LU1697016365</t>
        </is>
      </c>
      <c r="B623" t="inlineStr">
        <is>
          <t>LU1697016365.EUFUND</t>
        </is>
      </c>
      <c r="C623" t="inlineStr">
        <is>
          <t>FUND</t>
        </is>
      </c>
      <c r="D623" t="inlineStr">
        <is>
          <t>MIXED</t>
        </is>
      </c>
      <c r="E623" t="inlineStr">
        <is>
          <t>fondos-mixtos</t>
        </is>
      </c>
      <c r="F623" t="inlineStr">
        <is>
          <t>Sigma Investment House FCP - Selection Defensive Class A EUR</t>
        </is>
      </c>
      <c r="G623" t="inlineStr">
        <is>
          <t>EUR</t>
        </is>
      </c>
      <c r="H623" s="2" t="inlineStr">
        <is>
          <t>si</t>
        </is>
      </c>
    </row>
    <row r="624">
      <c r="A624" t="inlineStr">
        <is>
          <t>LU1697017686</t>
        </is>
      </c>
      <c r="B624" t="inlineStr">
        <is>
          <t>LU1697017686.EUFUND</t>
        </is>
      </c>
      <c r="C624" t="inlineStr">
        <is>
          <t>FUND</t>
        </is>
      </c>
      <c r="D624" t="inlineStr">
        <is>
          <t>MIXED</t>
        </is>
      </c>
      <c r="E624" t="inlineStr">
        <is>
          <t>fondos-mixtos</t>
        </is>
      </c>
      <c r="F624" t="inlineStr">
        <is>
          <t>Sigma Investment House FCP - Selection Dynamic Class A EUR</t>
        </is>
      </c>
      <c r="G624" t="inlineStr">
        <is>
          <t>EUR</t>
        </is>
      </c>
      <c r="H624" s="2" t="inlineStr">
        <is>
          <t>si</t>
        </is>
      </c>
    </row>
    <row r="625">
      <c r="A625" t="inlineStr">
        <is>
          <t>LU1697017256</t>
        </is>
      </c>
      <c r="B625" t="inlineStr">
        <is>
          <t>LU1697017256.EUFUND</t>
        </is>
      </c>
      <c r="C625" t="inlineStr">
        <is>
          <t>FUND</t>
        </is>
      </c>
      <c r="D625" t="inlineStr">
        <is>
          <t>MIXED</t>
        </is>
      </c>
      <c r="E625" t="inlineStr">
        <is>
          <t>fondos-mixtos</t>
        </is>
      </c>
      <c r="F625" t="inlineStr">
        <is>
          <t>Sigma Investment House FCP - Selection Moderate Class A EUR</t>
        </is>
      </c>
      <c r="G625" t="inlineStr">
        <is>
          <t>EUR</t>
        </is>
      </c>
      <c r="H625" s="2" t="inlineStr">
        <is>
          <t>si</t>
        </is>
      </c>
    </row>
    <row r="626">
      <c r="A626" t="inlineStr">
        <is>
          <t>ES0158600033</t>
        </is>
      </c>
      <c r="B626" t="inlineStr">
        <is>
          <t>ES0158600033.EUFUND</t>
        </is>
      </c>
      <c r="C626" t="inlineStr">
        <is>
          <t>FUND</t>
        </is>
      </c>
      <c r="D626" t="inlineStr">
        <is>
          <t>MIXED</t>
        </is>
      </c>
      <c r="E626" t="inlineStr">
        <is>
          <t>fondos-mixtos</t>
        </is>
      </c>
      <c r="F626" t="inlineStr">
        <is>
          <t>SIGMA INVESTMENT HOUSE FLEXIBLE GLOBAL  FI</t>
        </is>
      </c>
      <c r="G626" t="inlineStr">
        <is>
          <t>EUR</t>
        </is>
      </c>
      <c r="H626" s="2" t="inlineStr">
        <is>
          <t>si</t>
        </is>
      </c>
    </row>
    <row r="627">
      <c r="A627" t="inlineStr">
        <is>
          <t>LU0842066523</t>
        </is>
      </c>
      <c r="B627" t="inlineStr">
        <is>
          <t>LU0842066523.EUFUND</t>
        </is>
      </c>
      <c r="C627" t="inlineStr">
        <is>
          <t>FUND</t>
        </is>
      </c>
      <c r="D627" t="inlineStr">
        <is>
          <t>MIXED</t>
        </is>
      </c>
      <c r="E627" t="inlineStr">
        <is>
          <t>fondos-mixtos</t>
        </is>
      </c>
      <c r="F627" t="inlineStr">
        <is>
          <t>SIH FCP - Balanced A Classic</t>
        </is>
      </c>
      <c r="G627" t="inlineStr">
        <is>
          <t>EUR</t>
        </is>
      </c>
      <c r="H627" s="2" t="inlineStr">
        <is>
          <t>si</t>
        </is>
      </c>
    </row>
    <row r="628">
      <c r="A628" t="inlineStr">
        <is>
          <t>LU0568620560</t>
        </is>
      </c>
      <c r="B628" t="inlineStr">
        <is>
          <t>LU0568620560.EUFUND</t>
        </is>
      </c>
      <c r="C628" t="inlineStr">
        <is>
          <t>FUND</t>
        </is>
      </c>
      <c r="D628" t="inlineStr">
        <is>
          <t>MONEY_MARKET</t>
        </is>
      </c>
      <c r="E628" t="inlineStr">
        <is>
          <t>fondos-monetarios</t>
        </is>
      </c>
      <c r="F628" t="inlineStr">
        <is>
          <t>Amundi Funds - Cash EUR A2 EUR (C)</t>
        </is>
      </c>
      <c r="G628" t="inlineStr">
        <is>
          <t>EUR</t>
        </is>
      </c>
      <c r="H628" s="2" t="inlineStr">
        <is>
          <t>si</t>
        </is>
      </c>
    </row>
    <row r="629">
      <c r="A629" t="inlineStr">
        <is>
          <t>LU0568620727</t>
        </is>
      </c>
      <c r="B629" t="inlineStr">
        <is>
          <t>LU0568620727.EUFUND</t>
        </is>
      </c>
      <c r="C629" t="inlineStr">
        <is>
          <t>FUND</t>
        </is>
      </c>
      <c r="D629" t="inlineStr">
        <is>
          <t>MONEY_MARKET</t>
        </is>
      </c>
      <c r="E629" t="inlineStr">
        <is>
          <t>fondos-monetarios</t>
        </is>
      </c>
      <c r="F629" t="inlineStr">
        <is>
          <t>Amundi Funds - Cash EUR G2 EUR (C)</t>
        </is>
      </c>
      <c r="G629" t="inlineStr">
        <is>
          <t>EUR</t>
        </is>
      </c>
      <c r="H629" s="2" t="inlineStr">
        <is>
          <t>si</t>
        </is>
      </c>
    </row>
    <row r="630">
      <c r="A630" t="inlineStr">
        <is>
          <t>LU0093583077</t>
        </is>
      </c>
      <c r="B630" t="inlineStr">
        <is>
          <t>LU0093583077.EUFUND</t>
        </is>
      </c>
      <c r="C630" t="inlineStr">
        <is>
          <t>FUND</t>
        </is>
      </c>
      <c r="D630" t="inlineStr">
        <is>
          <t>MONEY_MARKET</t>
        </is>
      </c>
      <c r="E630" t="inlineStr">
        <is>
          <t>fondos-monetarios</t>
        </is>
      </c>
      <c r="F630" t="inlineStr">
        <is>
          <t>Candriam Money Market Euro C Acc EUR</t>
        </is>
      </c>
      <c r="G630" t="inlineStr">
        <is>
          <t>EUR</t>
        </is>
      </c>
      <c r="H630" s="2" t="inlineStr">
        <is>
          <t>si</t>
        </is>
      </c>
    </row>
    <row r="631">
      <c r="A631" t="inlineStr">
        <is>
          <t>FR0000989626</t>
        </is>
      </c>
      <c r="B631" t="inlineStr">
        <is>
          <t>FR0000989626.EUFUND</t>
        </is>
      </c>
      <c r="C631" t="inlineStr">
        <is>
          <t>FUND</t>
        </is>
      </c>
      <c r="D631" t="inlineStr">
        <is>
          <t>MONEY_MARKET</t>
        </is>
      </c>
      <c r="E631" t="inlineStr">
        <is>
          <t>fondos-monetarios</t>
        </is>
      </c>
      <c r="F631" t="inlineStr">
        <is>
          <t>Groupama Trésorerie IC</t>
        </is>
      </c>
      <c r="G631" t="inlineStr">
        <is>
          <t>EUR</t>
        </is>
      </c>
      <c r="H631" s="2" t="inlineStr">
        <is>
          <t>si</t>
        </is>
      </c>
    </row>
    <row r="632">
      <c r="A632" t="inlineStr">
        <is>
          <t>LU0252500524</t>
        </is>
      </c>
      <c r="B632" t="inlineStr">
        <is>
          <t>LU0252500524.EUFUND</t>
        </is>
      </c>
      <c r="C632" t="inlineStr">
        <is>
          <t>FUND</t>
        </is>
      </c>
      <c r="D632" t="inlineStr">
        <is>
          <t>MONEY_MARKET</t>
        </is>
      </c>
      <c r="E632" t="inlineStr">
        <is>
          <t>fondos-monetarios</t>
        </is>
      </c>
      <c r="F632" t="inlineStr">
        <is>
          <t>JPMorgan Funds - EUR Money Market VNAV Fund D (acc) EUR</t>
        </is>
      </c>
      <c r="G632" t="inlineStr">
        <is>
          <t>EUR</t>
        </is>
      </c>
      <c r="H632" s="2" t="inlineStr">
        <is>
          <t>si</t>
        </is>
      </c>
    </row>
    <row r="633">
      <c r="A633" t="inlineStr">
        <is>
          <t>LU1873127366</t>
        </is>
      </c>
      <c r="B633" t="inlineStr">
        <is>
          <t>LU1873127366.EUFUND</t>
        </is>
      </c>
      <c r="C633" t="inlineStr">
        <is>
          <t>FUND</t>
        </is>
      </c>
      <c r="D633" t="inlineStr">
        <is>
          <t>MONEY_MARKET</t>
        </is>
      </c>
      <c r="E633" t="inlineStr">
        <is>
          <t>fondos-monetarios</t>
        </is>
      </c>
      <c r="F633" t="inlineStr">
        <is>
          <t>JPMorgan Liquidity Funds - EUR Liquidity LVNAV Fund A (acc.)</t>
        </is>
      </c>
      <c r="G633" t="inlineStr">
        <is>
          <t>EUR</t>
        </is>
      </c>
      <c r="H633" s="2" t="inlineStr">
        <is>
          <t>si</t>
        </is>
      </c>
    </row>
    <row r="634">
      <c r="A634" t="inlineStr">
        <is>
          <t>LU1373035234</t>
        </is>
      </c>
      <c r="B634" t="inlineStr">
        <is>
          <t>LU1373035234.EUFUND</t>
        </is>
      </c>
      <c r="C634" t="inlineStr">
        <is>
          <t>FUND</t>
        </is>
      </c>
      <c r="D634" t="inlineStr">
        <is>
          <t>OTHER</t>
        </is>
      </c>
      <c r="E634" t="inlineStr">
        <is>
          <t>fondos-otros</t>
        </is>
      </c>
      <c r="F634" t="inlineStr">
        <is>
          <t>BlackRock Strategic Funds - BLK Systematic Style Factor Absolute Return Fund Class E2 Hedged EUR</t>
        </is>
      </c>
      <c r="G634" t="inlineStr">
        <is>
          <t>EUR</t>
        </is>
      </c>
      <c r="H634" s="2" t="inlineStr">
        <is>
          <t>si</t>
        </is>
      </c>
    </row>
    <row r="635">
      <c r="A635" t="inlineStr">
        <is>
          <t>FR0010794792</t>
        </is>
      </c>
      <c r="B635" t="inlineStr">
        <is>
          <t>FR0010794792.EUFUND</t>
        </is>
      </c>
      <c r="C635" t="inlineStr">
        <is>
          <t>FUND</t>
        </is>
      </c>
      <c r="D635" t="inlineStr">
        <is>
          <t>OTHER</t>
        </is>
      </c>
      <c r="E635" t="inlineStr">
        <is>
          <t>fondos-otros</t>
        </is>
      </c>
      <c r="F635" t="inlineStr">
        <is>
          <t>Candriam Diversified Futures Classique</t>
        </is>
      </c>
      <c r="G635" t="inlineStr">
        <is>
          <t>EUR</t>
        </is>
      </c>
      <c r="H635" s="2" t="inlineStr">
        <is>
          <t>si</t>
        </is>
      </c>
    </row>
    <row r="636">
      <c r="A636" t="inlineStr">
        <is>
          <t>ES0175414012</t>
        </is>
      </c>
      <c r="B636" t="inlineStr">
        <is>
          <t>ES0175414012.EUFUND</t>
        </is>
      </c>
      <c r="C636" t="inlineStr">
        <is>
          <t>FUND</t>
        </is>
      </c>
      <c r="D636" t="inlineStr">
        <is>
          <t>OTHER</t>
        </is>
      </c>
      <c r="E636" t="inlineStr">
        <is>
          <t>fondos-otros</t>
        </is>
      </c>
      <c r="F636" t="inlineStr">
        <is>
          <t>DUNAS VALOR EQUILIBRADO FI</t>
        </is>
      </c>
      <c r="G636" t="inlineStr">
        <is>
          <t>EUR</t>
        </is>
      </c>
      <c r="H636" s="2" t="inlineStr">
        <is>
          <t>si</t>
        </is>
      </c>
    </row>
    <row r="637">
      <c r="A637" t="inlineStr">
        <is>
          <t>ES0175316019</t>
        </is>
      </c>
      <c r="B637" t="inlineStr">
        <is>
          <t>ES0175316019.EUFUND</t>
        </is>
      </c>
      <c r="C637" t="inlineStr">
        <is>
          <t>FUND</t>
        </is>
      </c>
      <c r="D637" t="inlineStr">
        <is>
          <t>OTHER</t>
        </is>
      </c>
      <c r="E637" t="inlineStr">
        <is>
          <t>fondos-otros</t>
        </is>
      </c>
      <c r="F637" t="inlineStr">
        <is>
          <t>DUNAS VALOR FLEXIBLE FI</t>
        </is>
      </c>
      <c r="G637" t="inlineStr">
        <is>
          <t>EUR</t>
        </is>
      </c>
      <c r="H637" s="2" t="inlineStr">
        <is>
          <t>si</t>
        </is>
      </c>
    </row>
    <row r="638">
      <c r="A638" t="inlineStr">
        <is>
          <t>ES0175437005</t>
        </is>
      </c>
      <c r="B638" t="inlineStr">
        <is>
          <t>ES0175437005.EUFUND</t>
        </is>
      </c>
      <c r="C638" t="inlineStr">
        <is>
          <t>FUND</t>
        </is>
      </c>
      <c r="D638" t="inlineStr">
        <is>
          <t>OTHER</t>
        </is>
      </c>
      <c r="E638" t="inlineStr">
        <is>
          <t>fondos-otros</t>
        </is>
      </c>
      <c r="F638" t="inlineStr">
        <is>
          <t>DUNAS VALOR PRUDENTE FI</t>
        </is>
      </c>
      <c r="G638" t="inlineStr">
        <is>
          <t>EUR</t>
        </is>
      </c>
      <c r="H638" s="2" t="inlineStr">
        <is>
          <t>si</t>
        </is>
      </c>
    </row>
    <row r="639">
      <c r="A639" t="inlineStr">
        <is>
          <t>ES0127097030</t>
        </is>
      </c>
      <c r="B639" t="inlineStr">
        <is>
          <t>ES0127097030.EUFUND</t>
        </is>
      </c>
      <c r="C639" t="inlineStr">
        <is>
          <t>FUND</t>
        </is>
      </c>
      <c r="D639" t="inlineStr">
        <is>
          <t>OTHER</t>
        </is>
      </c>
      <c r="E639" t="inlineStr">
        <is>
          <t>fondos-otros</t>
        </is>
      </c>
      <c r="F639" t="inlineStr">
        <is>
          <t>DUX RENTINVER RENTA FIJA  FI</t>
        </is>
      </c>
      <c r="G639" t="inlineStr">
        <is>
          <t>EUR</t>
        </is>
      </c>
      <c r="H639" s="2" t="inlineStr">
        <is>
          <t>si</t>
        </is>
      </c>
    </row>
    <row r="640">
      <c r="A640" t="inlineStr">
        <is>
          <t>LU1103307408</t>
        </is>
      </c>
      <c r="B640" t="inlineStr">
        <is>
          <t>LU1103307408.EUFUND</t>
        </is>
      </c>
      <c r="C640" t="inlineStr">
        <is>
          <t>FUND</t>
        </is>
      </c>
      <c r="D640" t="inlineStr">
        <is>
          <t>OTHER</t>
        </is>
      </c>
      <c r="E640" t="inlineStr">
        <is>
          <t>fondos-otros</t>
        </is>
      </c>
      <c r="F640" t="inlineStr">
        <is>
          <t>Goldman Sachs Absolute Return Tracker Portfolio Other Currency Acc EUR-Hedged</t>
        </is>
      </c>
      <c r="G640" t="inlineStr">
        <is>
          <t>EUR</t>
        </is>
      </c>
      <c r="H640" s="2" t="inlineStr">
        <is>
          <t>si</t>
        </is>
      </c>
    </row>
    <row r="641">
      <c r="A641" t="inlineStr">
        <is>
          <t>LU0398684661</t>
        </is>
      </c>
      <c r="B641" t="inlineStr">
        <is>
          <t>LU0398684661.EUFUND</t>
        </is>
      </c>
      <c r="C641" t="inlineStr">
        <is>
          <t>FUND</t>
        </is>
      </c>
      <c r="D641" t="inlineStr">
        <is>
          <t>OTHER</t>
        </is>
      </c>
      <c r="E641" t="inlineStr">
        <is>
          <t>fondos-otros</t>
        </is>
      </c>
      <c r="F641" t="inlineStr">
        <is>
          <t>Goldman Sachs Alternative Beta - P Cap EUR (hedged i)</t>
        </is>
      </c>
      <c r="G641" t="inlineStr">
        <is>
          <t>EUR</t>
        </is>
      </c>
      <c r="H641" s="2" t="inlineStr">
        <is>
          <t>si</t>
        </is>
      </c>
    </row>
    <row r="642">
      <c r="A642" t="inlineStr">
        <is>
          <t>LU0503253931</t>
        </is>
      </c>
      <c r="B642" t="inlineStr">
        <is>
          <t>LU0503253931.EUFUND</t>
        </is>
      </c>
      <c r="C642" t="inlineStr">
        <is>
          <t>FUND</t>
        </is>
      </c>
      <c r="D642" t="inlineStr">
        <is>
          <t>OTHER</t>
        </is>
      </c>
      <c r="E642" t="inlineStr">
        <is>
          <t>fondos-otros</t>
        </is>
      </c>
      <c r="F642" t="inlineStr">
        <is>
          <t>Invesco Funds SICAV - Invesco Commodity Allocation Fund E (EUR)-Acc Shares</t>
        </is>
      </c>
      <c r="G642" t="inlineStr">
        <is>
          <t>EUR</t>
        </is>
      </c>
      <c r="H642" s="2" t="inlineStr">
        <is>
          <t>si</t>
        </is>
      </c>
    </row>
    <row r="643">
      <c r="A643" t="inlineStr">
        <is>
          <t>LU0607983896</t>
        </is>
      </c>
      <c r="B643" t="inlineStr">
        <is>
          <t>LU0607983896.EUFUND</t>
        </is>
      </c>
      <c r="C643" t="inlineStr">
        <is>
          <t>FUND</t>
        </is>
      </c>
      <c r="D643" t="inlineStr">
        <is>
          <t>OTHER</t>
        </is>
      </c>
      <c r="E643" t="inlineStr">
        <is>
          <t>fondos-otros</t>
        </is>
      </c>
      <c r="F643" t="inlineStr">
        <is>
          <t>Nordea 1 - Alpha 15 MA Fund BP EUR</t>
        </is>
      </c>
      <c r="G643" t="inlineStr">
        <is>
          <t>EUR</t>
        </is>
      </c>
      <c r="H643" s="2" t="inlineStr">
        <is>
          <t>si</t>
        </is>
      </c>
    </row>
    <row r="644">
      <c r="A644" t="inlineStr">
        <is>
          <t>FR0011170182</t>
        </is>
      </c>
      <c r="B644" t="inlineStr">
        <is>
          <t>FR0011170182.EUFUND</t>
        </is>
      </c>
      <c r="C644" t="inlineStr">
        <is>
          <t>FUND</t>
        </is>
      </c>
      <c r="D644" t="inlineStr">
        <is>
          <t>OTHER</t>
        </is>
      </c>
      <c r="E644" t="inlineStr">
        <is>
          <t>fondos-otros</t>
        </is>
      </c>
      <c r="F644" t="inlineStr">
        <is>
          <t>Ofi Invest Precious Metals R</t>
        </is>
      </c>
      <c r="G644" t="inlineStr">
        <is>
          <t>EUR</t>
        </is>
      </c>
      <c r="H644" s="2" t="inlineStr">
        <is>
          <t>si</t>
        </is>
      </c>
    </row>
    <row r="645">
      <c r="A645" t="inlineStr">
        <is>
          <t>ES0105336038</t>
        </is>
      </c>
      <c r="B645" t="inlineStr">
        <is>
          <t>BBVAI.MC</t>
        </is>
      </c>
      <c r="C645" t="inlineStr">
        <is>
          <t>ETF</t>
        </is>
      </c>
      <c r="D645" t="inlineStr">
        <is>
          <t>EQUITY</t>
        </is>
      </c>
      <c r="E645" t="inlineStr">
        <is>
          <t>etf</t>
        </is>
      </c>
      <c r="F645" t="inlineStr">
        <is>
          <t>Accion IBEX 35 Cotizado Armonizado FI</t>
        </is>
      </c>
      <c r="G645" t="inlineStr">
        <is>
          <t>EUR</t>
        </is>
      </c>
      <c r="H645" s="2" t="inlineStr">
        <is>
          <t>si</t>
        </is>
      </c>
    </row>
    <row r="646">
      <c r="A646" t="inlineStr">
        <is>
          <t>IE00B3Q19T94</t>
        </is>
      </c>
      <c r="B646" t="inlineStr">
        <is>
          <t>S7XE.XETRA</t>
        </is>
      </c>
      <c r="C646" t="inlineStr">
        <is>
          <t>ETF</t>
        </is>
      </c>
      <c r="D646" t="inlineStr">
        <is>
          <t>EQUITY</t>
        </is>
      </c>
      <c r="E646" t="inlineStr">
        <is>
          <t>etf</t>
        </is>
      </c>
      <c r="F646" t="inlineStr">
        <is>
          <t>Invesco EURO STOXX Optimised Banks UCITS ETF</t>
        </is>
      </c>
      <c r="G646" t="inlineStr">
        <is>
          <t>EUR</t>
        </is>
      </c>
      <c r="H646" s="2" t="inlineStr">
        <is>
          <t>si</t>
        </is>
      </c>
    </row>
    <row r="647">
      <c r="A647" t="inlineStr">
        <is>
          <t>DE0005933956</t>
        </is>
      </c>
      <c r="B647" t="inlineStr">
        <is>
          <t>EXW1.XETRA</t>
        </is>
      </c>
      <c r="C647" t="inlineStr">
        <is>
          <t>ETF</t>
        </is>
      </c>
      <c r="D647" t="inlineStr">
        <is>
          <t>EQUITY</t>
        </is>
      </c>
      <c r="E647" t="inlineStr">
        <is>
          <t>etf</t>
        </is>
      </c>
      <c r="F647" t="inlineStr">
        <is>
          <t>iShares Core EURO STOXX 50 UCITS ETF (DE)</t>
        </is>
      </c>
      <c r="G647" t="inlineStr">
        <is>
          <t>EUR</t>
        </is>
      </c>
      <c r="H647" s="2" t="inlineStr">
        <is>
          <t>si</t>
        </is>
      </c>
    </row>
    <row r="648">
      <c r="A648" t="inlineStr">
        <is>
          <t>IE00BDBRDM35</t>
        </is>
      </c>
      <c r="B648" t="inlineStr">
        <is>
          <t>EUNA.XETRA</t>
        </is>
      </c>
      <c r="C648" t="inlineStr">
        <is>
          <t>ETF</t>
        </is>
      </c>
      <c r="D648" t="inlineStr">
        <is>
          <t>FIXED_INCOME</t>
        </is>
      </c>
      <c r="E648" t="inlineStr">
        <is>
          <t>etf</t>
        </is>
      </c>
      <c r="F648" t="inlineStr">
        <is>
          <t>iShares Core Global Aggregate Bond UCITS ETF EUR Hedged (Acc)</t>
        </is>
      </c>
      <c r="G648" t="inlineStr">
        <is>
          <t>EUR</t>
        </is>
      </c>
      <c r="H648" s="2" t="inlineStr">
        <is>
          <t>si</t>
        </is>
      </c>
    </row>
    <row r="649">
      <c r="A649" t="inlineStr">
        <is>
          <t>IE00B6R52259</t>
        </is>
      </c>
      <c r="B649" t="inlineStr">
        <is>
          <t>IUSQ.XETRA</t>
        </is>
      </c>
      <c r="C649" t="inlineStr">
        <is>
          <t>ETF</t>
        </is>
      </c>
      <c r="D649" t="inlineStr">
        <is>
          <t>EQUITY</t>
        </is>
      </c>
      <c r="E649" t="inlineStr">
        <is>
          <t>etf</t>
        </is>
      </c>
      <c r="F649" t="inlineStr">
        <is>
          <t>iShares MSCI ACWI UCITS ETF USD (Acc) EUR</t>
        </is>
      </c>
      <c r="G649" t="inlineStr">
        <is>
          <t>EUR</t>
        </is>
      </c>
      <c r="H649" s="2" t="inlineStr">
        <is>
          <t>si</t>
        </is>
      </c>
    </row>
    <row r="650">
      <c r="A650" t="inlineStr">
        <is>
          <t>DE000A0F5UJ7</t>
        </is>
      </c>
      <c r="B650" t="inlineStr">
        <is>
          <t>EXV1.XETRA</t>
        </is>
      </c>
      <c r="C650" t="inlineStr">
        <is>
          <t>ETF</t>
        </is>
      </c>
      <c r="D650" t="inlineStr">
        <is>
          <t>EQUITY</t>
        </is>
      </c>
      <c r="E650" t="inlineStr">
        <is>
          <t>etf</t>
        </is>
      </c>
      <c r="F650" t="inlineStr">
        <is>
          <t>iShares STOXX Europe 600 Banks UCITS ETF (DE)</t>
        </is>
      </c>
      <c r="G650" t="inlineStr">
        <is>
          <t>EUR</t>
        </is>
      </c>
      <c r="H650" s="2" t="inlineStr">
        <is>
          <t>si</t>
        </is>
      </c>
    </row>
    <row r="651">
      <c r="A651" t="inlineStr">
        <is>
          <t>IE00B53L3W79</t>
        </is>
      </c>
      <c r="B651" t="inlineStr">
        <is>
          <t>SXRT.XETRA</t>
        </is>
      </c>
      <c r="C651" t="inlineStr">
        <is>
          <t>ETF</t>
        </is>
      </c>
      <c r="D651" t="inlineStr">
        <is>
          <t>EQUITY</t>
        </is>
      </c>
      <c r="E651" t="inlineStr">
        <is>
          <t>etf</t>
        </is>
      </c>
      <c r="F651" t="inlineStr">
        <is>
          <t>iShares VII PLC - iShares Core EURO STOXX 50 ETF EUR Acc</t>
        </is>
      </c>
      <c r="G651" t="inlineStr">
        <is>
          <t>EUR</t>
        </is>
      </c>
      <c r="H651" s="2" t="inlineStr">
        <is>
          <t>si</t>
        </is>
      </c>
    </row>
    <row r="652">
      <c r="A652" t="inlineStr">
        <is>
          <t>LU0290358497</t>
        </is>
      </c>
      <c r="B652" t="inlineStr">
        <is>
          <t>XEON.XETRA</t>
        </is>
      </c>
      <c r="C652" t="inlineStr">
        <is>
          <t>ETF</t>
        </is>
      </c>
      <c r="D652" t="inlineStr">
        <is>
          <t>MONEY_MARKET</t>
        </is>
      </c>
      <c r="E652" t="inlineStr">
        <is>
          <t>etf</t>
        </is>
      </c>
      <c r="F652" t="inlineStr">
        <is>
          <t>Xtrackers II EUR Overnight Rate Swap UCITS ETF 1C</t>
        </is>
      </c>
      <c r="G652" t="inlineStr">
        <is>
          <t>EUR</t>
        </is>
      </c>
      <c r="H652" s="2" t="inlineStr">
        <is>
          <t>si</t>
        </is>
      </c>
    </row>
    <row r="653">
      <c r="A653" t="inlineStr">
        <is>
          <t>ES0125220311</t>
        </is>
      </c>
      <c r="B653" t="inlineStr">
        <is>
          <t>ANA.MC</t>
        </is>
      </c>
      <c r="C653" t="inlineStr">
        <is>
          <t>STOCK</t>
        </is>
      </c>
      <c r="D653" t="inlineStr">
        <is>
          <t>EQUITY</t>
        </is>
      </c>
      <c r="E653" t="inlineStr">
        <is>
          <t>acciones</t>
        </is>
      </c>
      <c r="F653" t="inlineStr">
        <is>
          <t>Acciona</t>
        </is>
      </c>
      <c r="G653" t="inlineStr">
        <is>
          <t>EUR</t>
        </is>
      </c>
      <c r="H653" s="2" t="inlineStr">
        <is>
          <t>si</t>
        </is>
      </c>
    </row>
    <row r="654">
      <c r="A654" t="inlineStr">
        <is>
          <t>ES0132105018</t>
        </is>
      </c>
      <c r="B654" t="inlineStr">
        <is>
          <t>ACX.MC</t>
        </is>
      </c>
      <c r="C654" t="inlineStr">
        <is>
          <t>STOCK</t>
        </is>
      </c>
      <c r="D654" t="inlineStr">
        <is>
          <t>EQUITY</t>
        </is>
      </c>
      <c r="E654" t="inlineStr">
        <is>
          <t>acciones</t>
        </is>
      </c>
      <c r="F654" t="inlineStr">
        <is>
          <t>Acerinox</t>
        </is>
      </c>
      <c r="G654" t="inlineStr">
        <is>
          <t>EUR</t>
        </is>
      </c>
      <c r="H654" s="2" t="inlineStr">
        <is>
          <t>si</t>
        </is>
      </c>
    </row>
    <row r="655">
      <c r="A655" t="inlineStr">
        <is>
          <t>ES0167050915</t>
        </is>
      </c>
      <c r="B655" t="inlineStr">
        <is>
          <t>ACS.MC</t>
        </is>
      </c>
      <c r="C655" t="inlineStr">
        <is>
          <t>STOCK</t>
        </is>
      </c>
      <c r="D655" t="inlineStr">
        <is>
          <t>EQUITY</t>
        </is>
      </c>
      <c r="E655" t="inlineStr">
        <is>
          <t>acciones</t>
        </is>
      </c>
      <c r="F655" t="inlineStr">
        <is>
          <t>ACS Actividades de Construccion y Servicios SA</t>
        </is>
      </c>
      <c r="G655" t="inlineStr">
        <is>
          <t>EUR</t>
        </is>
      </c>
      <c r="H655" s="2" t="inlineStr">
        <is>
          <t>si</t>
        </is>
      </c>
    </row>
    <row r="656">
      <c r="A656" t="inlineStr">
        <is>
          <t>DE000A1EWWW0</t>
        </is>
      </c>
      <c r="B656" t="inlineStr">
        <is>
          <t>ADS.XETRA</t>
        </is>
      </c>
      <c r="C656" t="inlineStr">
        <is>
          <t>STOCK</t>
        </is>
      </c>
      <c r="D656" t="inlineStr">
        <is>
          <t>EQUITY</t>
        </is>
      </c>
      <c r="E656" t="inlineStr">
        <is>
          <t>acciones</t>
        </is>
      </c>
      <c r="F656" t="inlineStr">
        <is>
          <t>adidas AG</t>
        </is>
      </c>
      <c r="G656" t="inlineStr">
        <is>
          <t>EUR</t>
        </is>
      </c>
      <c r="H656" s="2" t="inlineStr">
        <is>
          <t>si</t>
        </is>
      </c>
    </row>
    <row r="657">
      <c r="A657" t="inlineStr">
        <is>
          <t>NL0012969182</t>
        </is>
      </c>
      <c r="B657" t="inlineStr">
        <is>
          <t>ADYEN.AS</t>
        </is>
      </c>
      <c r="C657" t="inlineStr">
        <is>
          <t>STOCK</t>
        </is>
      </c>
      <c r="D657" t="inlineStr">
        <is>
          <t>EQUITY</t>
        </is>
      </c>
      <c r="E657" t="inlineStr">
        <is>
          <t>acciones</t>
        </is>
      </c>
      <c r="F657" t="inlineStr">
        <is>
          <t>Adyen NV</t>
        </is>
      </c>
      <c r="G657" t="inlineStr">
        <is>
          <t>EUR</t>
        </is>
      </c>
      <c r="H657" s="2" t="inlineStr">
        <is>
          <t>si</t>
        </is>
      </c>
    </row>
    <row r="658">
      <c r="A658" t="inlineStr">
        <is>
          <t>ES0105046009</t>
        </is>
      </c>
      <c r="B658" t="inlineStr">
        <is>
          <t>AENA.MC</t>
        </is>
      </c>
      <c r="C658" t="inlineStr">
        <is>
          <t>STOCK</t>
        </is>
      </c>
      <c r="D658" t="inlineStr">
        <is>
          <t>EQUITY</t>
        </is>
      </c>
      <c r="E658" t="inlineStr">
        <is>
          <t>acciones</t>
        </is>
      </c>
      <c r="F658" t="inlineStr">
        <is>
          <t>Aena S.M.E.  S.A.</t>
        </is>
      </c>
      <c r="G658" t="inlineStr">
        <is>
          <t>EUR</t>
        </is>
      </c>
      <c r="H658" s="2" t="inlineStr">
        <is>
          <t>si</t>
        </is>
      </c>
    </row>
    <row r="659">
      <c r="A659" t="inlineStr">
        <is>
          <t>NL0000235190</t>
        </is>
      </c>
      <c r="B659" t="inlineStr">
        <is>
          <t>AIR.PA</t>
        </is>
      </c>
      <c r="C659" t="inlineStr">
        <is>
          <t>STOCK</t>
        </is>
      </c>
      <c r="D659" t="inlineStr">
        <is>
          <t>EQUITY</t>
        </is>
      </c>
      <c r="E659" t="inlineStr">
        <is>
          <t>acciones</t>
        </is>
      </c>
      <c r="F659" t="inlineStr">
        <is>
          <t>Airbus Group SE</t>
        </is>
      </c>
      <c r="G659" t="inlineStr">
        <is>
          <t>EUR</t>
        </is>
      </c>
      <c r="H659" s="2" t="inlineStr">
        <is>
          <t>si</t>
        </is>
      </c>
    </row>
    <row r="660">
      <c r="A660" t="inlineStr">
        <is>
          <t>ES0109067019</t>
        </is>
      </c>
      <c r="B660" t="inlineStr">
        <is>
          <t>AMS.MC</t>
        </is>
      </c>
      <c r="C660" t="inlineStr">
        <is>
          <t>STOCK</t>
        </is>
      </c>
      <c r="D660" t="inlineStr">
        <is>
          <t>EQUITY</t>
        </is>
      </c>
      <c r="E660" t="inlineStr">
        <is>
          <t>acciones</t>
        </is>
      </c>
      <c r="F660" t="inlineStr">
        <is>
          <t>Amadeus IT Group S.A.</t>
        </is>
      </c>
      <c r="G660" t="inlineStr">
        <is>
          <t>EUR</t>
        </is>
      </c>
      <c r="H660" s="2" t="inlineStr">
        <is>
          <t>si</t>
        </is>
      </c>
    </row>
    <row r="661">
      <c r="A661" t="inlineStr">
        <is>
          <t>LU1598757687</t>
        </is>
      </c>
      <c r="B661" t="inlineStr">
        <is>
          <t>MT.AS</t>
        </is>
      </c>
      <c r="C661" t="inlineStr">
        <is>
          <t>STOCK</t>
        </is>
      </c>
      <c r="D661" t="inlineStr">
        <is>
          <t>EQUITY</t>
        </is>
      </c>
      <c r="E661" t="inlineStr">
        <is>
          <t>acciones</t>
        </is>
      </c>
      <c r="F661" t="inlineStr">
        <is>
          <t>ArcelorMittal SA</t>
        </is>
      </c>
      <c r="G661" t="inlineStr">
        <is>
          <t>EUR</t>
        </is>
      </c>
      <c r="H661" s="2" t="inlineStr">
        <is>
          <t>si</t>
        </is>
      </c>
    </row>
    <row r="662">
      <c r="A662" t="inlineStr">
        <is>
          <t>ES0113211835</t>
        </is>
      </c>
      <c r="B662" t="inlineStr">
        <is>
          <t>BBVA.MC</t>
        </is>
      </c>
      <c r="C662" t="inlineStr">
        <is>
          <t>STOCK</t>
        </is>
      </c>
      <c r="D662" t="inlineStr">
        <is>
          <t>EQUITY</t>
        </is>
      </c>
      <c r="E662" t="inlineStr">
        <is>
          <t>acciones</t>
        </is>
      </c>
      <c r="F662" t="inlineStr">
        <is>
          <t>Banco Bilbao Vizcaya Argentaria SA</t>
        </is>
      </c>
      <c r="G662" t="inlineStr">
        <is>
          <t>EUR</t>
        </is>
      </c>
      <c r="H662" s="2" t="inlineStr">
        <is>
          <t>si</t>
        </is>
      </c>
    </row>
    <row r="663">
      <c r="A663" t="inlineStr">
        <is>
          <t>ES0113860A34</t>
        </is>
      </c>
      <c r="B663" t="inlineStr">
        <is>
          <t>SAB.MC</t>
        </is>
      </c>
      <c r="C663" t="inlineStr">
        <is>
          <t>STOCK</t>
        </is>
      </c>
      <c r="D663" t="inlineStr">
        <is>
          <t>EQUITY</t>
        </is>
      </c>
      <c r="E663" t="inlineStr">
        <is>
          <t>acciones</t>
        </is>
      </c>
      <c r="F663" t="inlineStr">
        <is>
          <t>Banco de Sabadell S.A</t>
        </is>
      </c>
      <c r="G663" t="inlineStr">
        <is>
          <t>EUR</t>
        </is>
      </c>
      <c r="H663" s="2" t="inlineStr">
        <is>
          <t>si</t>
        </is>
      </c>
    </row>
    <row r="664">
      <c r="A664" t="inlineStr">
        <is>
          <t>ES0113900J37</t>
        </is>
      </c>
      <c r="B664" t="inlineStr">
        <is>
          <t>SAN.MC</t>
        </is>
      </c>
      <c r="C664" t="inlineStr">
        <is>
          <t>STOCK</t>
        </is>
      </c>
      <c r="D664" t="inlineStr">
        <is>
          <t>EQUITY</t>
        </is>
      </c>
      <c r="E664" t="inlineStr">
        <is>
          <t>acciones</t>
        </is>
      </c>
      <c r="F664" t="inlineStr">
        <is>
          <t>Banco Santander S.A.</t>
        </is>
      </c>
      <c r="G664" t="inlineStr">
        <is>
          <t>EUR</t>
        </is>
      </c>
      <c r="H664" s="2" t="inlineStr">
        <is>
          <t>si</t>
        </is>
      </c>
    </row>
    <row r="665">
      <c r="A665" t="inlineStr">
        <is>
          <t>ES0113679I37</t>
        </is>
      </c>
      <c r="B665" t="inlineStr">
        <is>
          <t>BKT.MC</t>
        </is>
      </c>
      <c r="C665" t="inlineStr">
        <is>
          <t>STOCK</t>
        </is>
      </c>
      <c r="D665" t="inlineStr">
        <is>
          <t>EQUITY</t>
        </is>
      </c>
      <c r="E665" t="inlineStr">
        <is>
          <t>acciones</t>
        </is>
      </c>
      <c r="F665" t="inlineStr">
        <is>
          <t>Bankinter</t>
        </is>
      </c>
      <c r="G665" t="inlineStr">
        <is>
          <t>EUR</t>
        </is>
      </c>
      <c r="H665" s="2" t="inlineStr">
        <is>
          <t>si</t>
        </is>
      </c>
    </row>
    <row r="666">
      <c r="A666" t="inlineStr">
        <is>
          <t>DE000BAY0017</t>
        </is>
      </c>
      <c r="B666" t="inlineStr">
        <is>
          <t>BAYN.XETRA</t>
        </is>
      </c>
      <c r="C666" t="inlineStr">
        <is>
          <t>STOCK</t>
        </is>
      </c>
      <c r="D666" t="inlineStr">
        <is>
          <t>EQUITY</t>
        </is>
      </c>
      <c r="E666" t="inlineStr">
        <is>
          <t>acciones</t>
        </is>
      </c>
      <c r="F666" t="inlineStr">
        <is>
          <t>Bayer AG NA</t>
        </is>
      </c>
      <c r="G666" t="inlineStr">
        <is>
          <t>EUR</t>
        </is>
      </c>
      <c r="H666" s="2" t="inlineStr">
        <is>
          <t>si</t>
        </is>
      </c>
    </row>
    <row r="667">
      <c r="A667" t="inlineStr">
        <is>
          <t>DE0005190003</t>
        </is>
      </c>
      <c r="B667" t="inlineStr">
        <is>
          <t>BMW.XETRA</t>
        </is>
      </c>
      <c r="C667" t="inlineStr">
        <is>
          <t>STOCK</t>
        </is>
      </c>
      <c r="D667" t="inlineStr">
        <is>
          <t>EQUITY</t>
        </is>
      </c>
      <c r="E667" t="inlineStr">
        <is>
          <t>acciones</t>
        </is>
      </c>
      <c r="F667" t="inlineStr">
        <is>
          <t>Bayerische Motoren Werke Aktiengesellschaft</t>
        </is>
      </c>
      <c r="G667" t="inlineStr">
        <is>
          <t>EUR</t>
        </is>
      </c>
      <c r="H667" s="2" t="inlineStr">
        <is>
          <t>si</t>
        </is>
      </c>
    </row>
    <row r="668">
      <c r="A668" t="inlineStr">
        <is>
          <t>FR0000131104</t>
        </is>
      </c>
      <c r="B668" t="inlineStr">
        <is>
          <t>BNP.PA</t>
        </is>
      </c>
      <c r="C668" t="inlineStr">
        <is>
          <t>STOCK</t>
        </is>
      </c>
      <c r="D668" t="inlineStr">
        <is>
          <t>EQUITY</t>
        </is>
      </c>
      <c r="E668" t="inlineStr">
        <is>
          <t>acciones</t>
        </is>
      </c>
      <c r="F668" t="inlineStr">
        <is>
          <t>BNP Paribas SA</t>
        </is>
      </c>
      <c r="G668" t="inlineStr">
        <is>
          <t>EUR</t>
        </is>
      </c>
      <c r="H668" s="2" t="inlineStr">
        <is>
          <t>si</t>
        </is>
      </c>
    </row>
    <row r="669">
      <c r="A669" t="inlineStr">
        <is>
          <t>ES0140609019</t>
        </is>
      </c>
      <c r="B669" t="inlineStr">
        <is>
          <t>CABK.MC</t>
        </is>
      </c>
      <c r="C669" t="inlineStr">
        <is>
          <t>STOCK</t>
        </is>
      </c>
      <c r="D669" t="inlineStr">
        <is>
          <t>EQUITY</t>
        </is>
      </c>
      <c r="E669" t="inlineStr">
        <is>
          <t>acciones</t>
        </is>
      </c>
      <c r="F669" t="inlineStr">
        <is>
          <t>Caixabank SA</t>
        </is>
      </c>
      <c r="G669" t="inlineStr">
        <is>
          <t>EUR</t>
        </is>
      </c>
      <c r="H669" s="2" t="inlineStr">
        <is>
          <t>si</t>
        </is>
      </c>
    </row>
    <row r="670">
      <c r="A670" t="inlineStr">
        <is>
          <t>ES0105066007</t>
        </is>
      </c>
      <c r="B670" t="inlineStr">
        <is>
          <t>CLNX.MC</t>
        </is>
      </c>
      <c r="C670" t="inlineStr">
        <is>
          <t>STOCK</t>
        </is>
      </c>
      <c r="D670" t="inlineStr">
        <is>
          <t>EQUITY</t>
        </is>
      </c>
      <c r="E670" t="inlineStr">
        <is>
          <t>acciones</t>
        </is>
      </c>
      <c r="F670" t="inlineStr">
        <is>
          <t>Cellnex Telecom SA</t>
        </is>
      </c>
      <c r="G670" t="inlineStr">
        <is>
          <t>EUR</t>
        </is>
      </c>
      <c r="H670" s="2" t="inlineStr">
        <is>
          <t>si</t>
        </is>
      </c>
    </row>
    <row r="671">
      <c r="A671" t="inlineStr">
        <is>
          <t>ES0105027009</t>
        </is>
      </c>
      <c r="B671" t="inlineStr">
        <is>
          <t>LOG.MC</t>
        </is>
      </c>
      <c r="C671" t="inlineStr">
        <is>
          <t>STOCK</t>
        </is>
      </c>
      <c r="D671" t="inlineStr">
        <is>
          <t>EQUITY</t>
        </is>
      </c>
      <c r="E671" t="inlineStr">
        <is>
          <t>acciones</t>
        </is>
      </c>
      <c r="F671" t="inlineStr">
        <is>
          <t>Cia de Distribucion Integral</t>
        </is>
      </c>
      <c r="G671" t="inlineStr">
        <is>
          <t>EUR</t>
        </is>
      </c>
      <c r="H671" s="2" t="inlineStr">
        <is>
          <t>si</t>
        </is>
      </c>
    </row>
    <row r="672">
      <c r="A672" t="inlineStr">
        <is>
          <t>ES0105563003</t>
        </is>
      </c>
      <c r="B672" t="inlineStr">
        <is>
          <t>ANE.MC</t>
        </is>
      </c>
      <c r="C672" t="inlineStr">
        <is>
          <t>STOCK</t>
        </is>
      </c>
      <c r="D672" t="inlineStr">
        <is>
          <t>EQUITY</t>
        </is>
      </c>
      <c r="E672" t="inlineStr">
        <is>
          <t>acciones</t>
        </is>
      </c>
      <c r="F672" t="inlineStr">
        <is>
          <t>Corporacion Acciona Energias Renovables SA</t>
        </is>
      </c>
      <c r="G672" t="inlineStr">
        <is>
          <t>EUR</t>
        </is>
      </c>
      <c r="H672" s="2" t="inlineStr">
        <is>
          <t>si</t>
        </is>
      </c>
    </row>
    <row r="673">
      <c r="A673" t="inlineStr">
        <is>
          <t>FR0000120644</t>
        </is>
      </c>
      <c r="B673" t="inlineStr">
        <is>
          <t>BN.PA</t>
        </is>
      </c>
      <c r="C673" t="inlineStr">
        <is>
          <t>STOCK</t>
        </is>
      </c>
      <c r="D673" t="inlineStr">
        <is>
          <t>EQUITY</t>
        </is>
      </c>
      <c r="E673" t="inlineStr">
        <is>
          <t>acciones</t>
        </is>
      </c>
      <c r="F673" t="inlineStr">
        <is>
          <t>Danone SA</t>
        </is>
      </c>
      <c r="G673" t="inlineStr">
        <is>
          <t>EUR</t>
        </is>
      </c>
      <c r="H673" s="2" t="inlineStr">
        <is>
          <t>si</t>
        </is>
      </c>
    </row>
    <row r="674">
      <c r="A674" t="inlineStr">
        <is>
          <t>DE0005140008</t>
        </is>
      </c>
      <c r="B674" t="inlineStr">
        <is>
          <t>DBK.XETRA</t>
        </is>
      </c>
      <c r="C674" t="inlineStr">
        <is>
          <t>STOCK</t>
        </is>
      </c>
      <c r="D674" t="inlineStr">
        <is>
          <t>EQUITY</t>
        </is>
      </c>
      <c r="E674" t="inlineStr">
        <is>
          <t>acciones</t>
        </is>
      </c>
      <c r="F674" t="inlineStr">
        <is>
          <t>Deutsche Bank Aktiengesellschaft</t>
        </is>
      </c>
      <c r="G674" t="inlineStr">
        <is>
          <t>EUR</t>
        </is>
      </c>
      <c r="H674" s="2" t="inlineStr">
        <is>
          <t>si</t>
        </is>
      </c>
    </row>
    <row r="675">
      <c r="A675" t="inlineStr">
        <is>
          <t>DE0005810055</t>
        </is>
      </c>
      <c r="B675" t="inlineStr">
        <is>
          <t>DB1.XETRA</t>
        </is>
      </c>
      <c r="C675" t="inlineStr">
        <is>
          <t>STOCK</t>
        </is>
      </c>
      <c r="D675" t="inlineStr">
        <is>
          <t>EQUITY</t>
        </is>
      </c>
      <c r="E675" t="inlineStr">
        <is>
          <t>acciones</t>
        </is>
      </c>
      <c r="F675" t="inlineStr">
        <is>
          <t>Deutsche Börse AG</t>
        </is>
      </c>
      <c r="G675" t="inlineStr">
        <is>
          <t>EUR</t>
        </is>
      </c>
      <c r="H675" s="2" t="inlineStr">
        <is>
          <t>si</t>
        </is>
      </c>
    </row>
    <row r="676">
      <c r="A676" t="inlineStr">
        <is>
          <t>DE0005552004</t>
        </is>
      </c>
      <c r="B676" t="inlineStr">
        <is>
          <t>DHL.XETRA</t>
        </is>
      </c>
      <c r="C676" t="inlineStr">
        <is>
          <t>STOCK</t>
        </is>
      </c>
      <c r="D676" t="inlineStr">
        <is>
          <t>EQUITY</t>
        </is>
      </c>
      <c r="E676" t="inlineStr">
        <is>
          <t>acciones</t>
        </is>
      </c>
      <c r="F676" t="inlineStr">
        <is>
          <t>Deutsche Post AG</t>
        </is>
      </c>
      <c r="G676" t="inlineStr">
        <is>
          <t>EUR</t>
        </is>
      </c>
      <c r="H676" s="2" t="inlineStr">
        <is>
          <t>si</t>
        </is>
      </c>
    </row>
    <row r="677">
      <c r="A677" t="inlineStr">
        <is>
          <t>ES0130960018</t>
        </is>
      </c>
      <c r="B677" t="inlineStr">
        <is>
          <t>ENG.MC</t>
        </is>
      </c>
      <c r="C677" t="inlineStr">
        <is>
          <t>STOCK</t>
        </is>
      </c>
      <c r="D677" t="inlineStr">
        <is>
          <t>EQUITY</t>
        </is>
      </c>
      <c r="E677" t="inlineStr">
        <is>
          <t>acciones</t>
        </is>
      </c>
      <c r="F677" t="inlineStr">
        <is>
          <t>Enagás S.A.</t>
        </is>
      </c>
      <c r="G677" t="inlineStr">
        <is>
          <t>EUR</t>
        </is>
      </c>
      <c r="H677" s="2" t="inlineStr">
        <is>
          <t>si</t>
        </is>
      </c>
    </row>
    <row r="678">
      <c r="A678" t="inlineStr">
        <is>
          <t>ES0130670112</t>
        </is>
      </c>
      <c r="B678" t="inlineStr">
        <is>
          <t>ELE.MC</t>
        </is>
      </c>
      <c r="C678" t="inlineStr">
        <is>
          <t>STOCK</t>
        </is>
      </c>
      <c r="D678" t="inlineStr">
        <is>
          <t>EQUITY</t>
        </is>
      </c>
      <c r="E678" t="inlineStr">
        <is>
          <t>acciones</t>
        </is>
      </c>
      <c r="F678" t="inlineStr">
        <is>
          <t>Endesa SA</t>
        </is>
      </c>
      <c r="G678" t="inlineStr">
        <is>
          <t>EUR</t>
        </is>
      </c>
      <c r="H678" s="2" t="inlineStr">
        <is>
          <t>si</t>
        </is>
      </c>
    </row>
    <row r="679">
      <c r="A679" t="inlineStr">
        <is>
          <t>IT0003128367</t>
        </is>
      </c>
      <c r="B679" t="inlineStr">
        <is>
          <t>ENL.XETRA</t>
        </is>
      </c>
      <c r="C679" t="inlineStr">
        <is>
          <t>STOCK</t>
        </is>
      </c>
      <c r="D679" t="inlineStr">
        <is>
          <t>EQUITY</t>
        </is>
      </c>
      <c r="E679" t="inlineStr">
        <is>
          <t>acciones</t>
        </is>
      </c>
      <c r="F679" t="inlineStr">
        <is>
          <t>Enel SpA</t>
        </is>
      </c>
      <c r="G679" t="inlineStr">
        <is>
          <t>EUR</t>
        </is>
      </c>
      <c r="H679" s="2" t="inlineStr">
        <is>
          <t>si</t>
        </is>
      </c>
    </row>
    <row r="680">
      <c r="A680" t="inlineStr">
        <is>
          <t>IT0003132476</t>
        </is>
      </c>
      <c r="B680" t="inlineStr">
        <is>
          <t>ENI.XETRA</t>
        </is>
      </c>
      <c r="C680" t="inlineStr">
        <is>
          <t>STOCK</t>
        </is>
      </c>
      <c r="D680" t="inlineStr">
        <is>
          <t>EQUITY</t>
        </is>
      </c>
      <c r="E680" t="inlineStr">
        <is>
          <t>acciones</t>
        </is>
      </c>
      <c r="F680" t="inlineStr">
        <is>
          <t>ENI S.p.A.</t>
        </is>
      </c>
      <c r="G680" t="inlineStr">
        <is>
          <t>EUR</t>
        </is>
      </c>
      <c r="H680" s="2" t="inlineStr">
        <is>
          <t>si</t>
        </is>
      </c>
    </row>
    <row r="681">
      <c r="A681" t="inlineStr">
        <is>
          <t>FR0000121667</t>
        </is>
      </c>
      <c r="B681" t="inlineStr">
        <is>
          <t>EL.PA</t>
        </is>
      </c>
      <c r="C681" t="inlineStr">
        <is>
          <t>STOCK</t>
        </is>
      </c>
      <c r="D681" t="inlineStr">
        <is>
          <t>EQUITY</t>
        </is>
      </c>
      <c r="E681" t="inlineStr">
        <is>
          <t>acciones</t>
        </is>
      </c>
      <c r="F681" t="inlineStr">
        <is>
          <t>EssilorLuxottica S. A.</t>
        </is>
      </c>
      <c r="G681" t="inlineStr">
        <is>
          <t>EUR</t>
        </is>
      </c>
      <c r="H681" s="2" t="inlineStr">
        <is>
          <t>si</t>
        </is>
      </c>
    </row>
    <row r="682">
      <c r="A682" t="inlineStr">
        <is>
          <t>ES0118900010</t>
        </is>
      </c>
      <c r="B682" t="inlineStr">
        <is>
          <t>FER.MC</t>
        </is>
      </c>
      <c r="C682" t="inlineStr">
        <is>
          <t>STOCK</t>
        </is>
      </c>
      <c r="D682" t="inlineStr">
        <is>
          <t>EQUITY</t>
        </is>
      </c>
      <c r="E682" t="inlineStr">
        <is>
          <t>acciones</t>
        </is>
      </c>
      <c r="F682" t="inlineStr">
        <is>
          <t>Ferrovial N.V.</t>
        </is>
      </c>
      <c r="G682" t="inlineStr">
        <is>
          <t>EUR</t>
        </is>
      </c>
      <c r="H682" s="2" t="inlineStr">
        <is>
          <t>si</t>
        </is>
      </c>
    </row>
    <row r="683">
      <c r="A683" t="inlineStr">
        <is>
          <t>ES0137650018</t>
        </is>
      </c>
      <c r="B683" t="inlineStr">
        <is>
          <t>FDR.MC</t>
        </is>
      </c>
      <c r="C683" t="inlineStr">
        <is>
          <t>STOCK</t>
        </is>
      </c>
      <c r="D683" t="inlineStr">
        <is>
          <t>EQUITY</t>
        </is>
      </c>
      <c r="E683" t="inlineStr">
        <is>
          <t>acciones</t>
        </is>
      </c>
      <c r="F683" t="inlineStr">
        <is>
          <t>Fluidra</t>
        </is>
      </c>
      <c r="G683" t="inlineStr">
        <is>
          <t>EUR</t>
        </is>
      </c>
      <c r="H683" s="2" t="inlineStr">
        <is>
          <t>si</t>
        </is>
      </c>
    </row>
    <row r="684">
      <c r="A684" t="inlineStr">
        <is>
          <t>ES0171996087</t>
        </is>
      </c>
      <c r="B684" t="inlineStr">
        <is>
          <t>GRF.MC</t>
        </is>
      </c>
      <c r="C684" t="inlineStr">
        <is>
          <t>STOCK</t>
        </is>
      </c>
      <c r="D684" t="inlineStr">
        <is>
          <t>EQUITY</t>
        </is>
      </c>
      <c r="E684" t="inlineStr">
        <is>
          <t>acciones</t>
        </is>
      </c>
      <c r="F684" t="inlineStr">
        <is>
          <t>Grifols S.A.</t>
        </is>
      </c>
      <c r="G684" t="inlineStr">
        <is>
          <t>EUR</t>
        </is>
      </c>
      <c r="H684" s="2" t="inlineStr">
        <is>
          <t>si</t>
        </is>
      </c>
    </row>
    <row r="685">
      <c r="A685" t="inlineStr">
        <is>
          <t>FR0000052292</t>
        </is>
      </c>
      <c r="B685" t="inlineStr">
        <is>
          <t>RMS.PA</t>
        </is>
      </c>
      <c r="C685" t="inlineStr">
        <is>
          <t>STOCK</t>
        </is>
      </c>
      <c r="D685" t="inlineStr">
        <is>
          <t>EQUITY</t>
        </is>
      </c>
      <c r="E685" t="inlineStr">
        <is>
          <t>acciones</t>
        </is>
      </c>
      <c r="F685" t="inlineStr">
        <is>
          <t>Hermes International SCA</t>
        </is>
      </c>
      <c r="G685" t="inlineStr">
        <is>
          <t>EUR</t>
        </is>
      </c>
      <c r="H685" s="2" t="inlineStr">
        <is>
          <t>si</t>
        </is>
      </c>
    </row>
    <row r="686">
      <c r="A686" t="inlineStr">
        <is>
          <t>ES0144580Y14</t>
        </is>
      </c>
      <c r="B686" t="inlineStr">
        <is>
          <t>IBE.MC</t>
        </is>
      </c>
      <c r="C686" t="inlineStr">
        <is>
          <t>STOCK</t>
        </is>
      </c>
      <c r="D686" t="inlineStr">
        <is>
          <t>EQUITY</t>
        </is>
      </c>
      <c r="E686" t="inlineStr">
        <is>
          <t>acciones</t>
        </is>
      </c>
      <c r="F686" t="inlineStr">
        <is>
          <t>Iberdrola S.A.</t>
        </is>
      </c>
      <c r="G686" t="inlineStr">
        <is>
          <t>EUR</t>
        </is>
      </c>
      <c r="H686" s="2" t="inlineStr">
        <is>
          <t>si</t>
        </is>
      </c>
    </row>
    <row r="687">
      <c r="A687" t="inlineStr">
        <is>
          <t>ES0118594417</t>
        </is>
      </c>
      <c r="B687" t="inlineStr">
        <is>
          <t>IDR.MC</t>
        </is>
      </c>
      <c r="C687" t="inlineStr">
        <is>
          <t>STOCK</t>
        </is>
      </c>
      <c r="D687" t="inlineStr">
        <is>
          <t>EQUITY</t>
        </is>
      </c>
      <c r="E687" t="inlineStr">
        <is>
          <t>acciones</t>
        </is>
      </c>
      <c r="F687" t="inlineStr">
        <is>
          <t>Indra A</t>
        </is>
      </c>
      <c r="G687" t="inlineStr">
        <is>
          <t>EUR</t>
        </is>
      </c>
      <c r="H687" s="2" t="inlineStr">
        <is>
          <t>si</t>
        </is>
      </c>
    </row>
    <row r="688">
      <c r="A688" t="inlineStr">
        <is>
          <t>ES0148396007</t>
        </is>
      </c>
      <c r="B688" t="inlineStr">
        <is>
          <t>ITX.MC</t>
        </is>
      </c>
      <c r="C688" t="inlineStr">
        <is>
          <t>STOCK</t>
        </is>
      </c>
      <c r="D688" t="inlineStr">
        <is>
          <t>EQUITY</t>
        </is>
      </c>
      <c r="E688" t="inlineStr">
        <is>
          <t>acciones</t>
        </is>
      </c>
      <c r="F688" t="inlineStr">
        <is>
          <t>Industria de Diseno Textil SA</t>
        </is>
      </c>
      <c r="G688" t="inlineStr">
        <is>
          <t>EUR</t>
        </is>
      </c>
      <c r="H688" s="2" t="inlineStr">
        <is>
          <t>si</t>
        </is>
      </c>
    </row>
    <row r="689">
      <c r="A689" t="inlineStr">
        <is>
          <t>DE0006231004</t>
        </is>
      </c>
      <c r="B689" t="inlineStr">
        <is>
          <t>IFX.XETRA</t>
        </is>
      </c>
      <c r="C689" t="inlineStr">
        <is>
          <t>STOCK</t>
        </is>
      </c>
      <c r="D689" t="inlineStr">
        <is>
          <t>EQUITY</t>
        </is>
      </c>
      <c r="E689" t="inlineStr">
        <is>
          <t>acciones</t>
        </is>
      </c>
      <c r="F689" t="inlineStr">
        <is>
          <t>Infineon Technologies AG</t>
        </is>
      </c>
      <c r="G689" t="inlineStr">
        <is>
          <t>EUR</t>
        </is>
      </c>
      <c r="H689" s="2" t="inlineStr">
        <is>
          <t>si</t>
        </is>
      </c>
    </row>
    <row r="690">
      <c r="A690" t="inlineStr">
        <is>
          <t>NL0011821202</t>
        </is>
      </c>
      <c r="B690" t="inlineStr">
        <is>
          <t>INGA.AS</t>
        </is>
      </c>
      <c r="C690" t="inlineStr">
        <is>
          <t>STOCK</t>
        </is>
      </c>
      <c r="D690" t="inlineStr">
        <is>
          <t>EQUITY</t>
        </is>
      </c>
      <c r="E690" t="inlineStr">
        <is>
          <t>acciones</t>
        </is>
      </c>
      <c r="F690" t="inlineStr">
        <is>
          <t>ING Groep NV</t>
        </is>
      </c>
      <c r="G690" t="inlineStr">
        <is>
          <t>EUR</t>
        </is>
      </c>
      <c r="H690" s="2" t="inlineStr">
        <is>
          <t>si</t>
        </is>
      </c>
    </row>
    <row r="691">
      <c r="A691" t="inlineStr">
        <is>
          <t>ES0139140174</t>
        </is>
      </c>
      <c r="B691" t="inlineStr">
        <is>
          <t>COL.MC</t>
        </is>
      </c>
      <c r="C691" t="inlineStr">
        <is>
          <t>STOCK</t>
        </is>
      </c>
      <c r="D691" t="inlineStr">
        <is>
          <t>EQUITY</t>
        </is>
      </c>
      <c r="E691" t="inlineStr">
        <is>
          <t>acciones</t>
        </is>
      </c>
      <c r="F691" t="inlineStr">
        <is>
          <t>Inmobiliaria Colonial SA</t>
        </is>
      </c>
      <c r="G691" t="inlineStr">
        <is>
          <t>EUR</t>
        </is>
      </c>
      <c r="H691" s="2" t="inlineStr">
        <is>
          <t>si</t>
        </is>
      </c>
    </row>
    <row r="692">
      <c r="A692" t="inlineStr">
        <is>
          <t>ES0177542018</t>
        </is>
      </c>
      <c r="B692" t="inlineStr">
        <is>
          <t>IAG.MC</t>
        </is>
      </c>
      <c r="C692" t="inlineStr">
        <is>
          <t>STOCK</t>
        </is>
      </c>
      <c r="D692" t="inlineStr">
        <is>
          <t>EQUITY</t>
        </is>
      </c>
      <c r="E692" t="inlineStr">
        <is>
          <t>acciones</t>
        </is>
      </c>
      <c r="F692" t="inlineStr">
        <is>
          <t>International Consolidated Airlines Group S.A</t>
        </is>
      </c>
      <c r="G692" t="inlineStr">
        <is>
          <t>EUR</t>
        </is>
      </c>
      <c r="H692" s="2" t="inlineStr">
        <is>
          <t>si</t>
        </is>
      </c>
    </row>
    <row r="693">
      <c r="A693" t="inlineStr">
        <is>
          <t>IT0000072618</t>
        </is>
      </c>
      <c r="B693" t="inlineStr">
        <is>
          <t>IES.XETRA</t>
        </is>
      </c>
      <c r="C693" t="inlineStr">
        <is>
          <t>STOCK</t>
        </is>
      </c>
      <c r="D693" t="inlineStr">
        <is>
          <t>EQUITY</t>
        </is>
      </c>
      <c r="E693" t="inlineStr">
        <is>
          <t>acciones</t>
        </is>
      </c>
      <c r="F693" t="inlineStr">
        <is>
          <t>Intesa Sanpaolo SpA</t>
        </is>
      </c>
      <c r="G693" t="inlineStr">
        <is>
          <t>EUR</t>
        </is>
      </c>
      <c r="H693" s="2" t="inlineStr">
        <is>
          <t>si</t>
        </is>
      </c>
    </row>
    <row r="694">
      <c r="A694" t="inlineStr">
        <is>
          <t>FR0000121485</t>
        </is>
      </c>
      <c r="B694" t="inlineStr">
        <is>
          <t>KER.PA</t>
        </is>
      </c>
      <c r="C694" t="inlineStr">
        <is>
          <t>STOCK</t>
        </is>
      </c>
      <c r="D694" t="inlineStr">
        <is>
          <t>EQUITY</t>
        </is>
      </c>
      <c r="E694" t="inlineStr">
        <is>
          <t>acciones</t>
        </is>
      </c>
      <c r="F694" t="inlineStr">
        <is>
          <t>Kering SA</t>
        </is>
      </c>
      <c r="G694" t="inlineStr">
        <is>
          <t>EUR</t>
        </is>
      </c>
      <c r="H694" s="2" t="inlineStr">
        <is>
          <t>si</t>
        </is>
      </c>
    </row>
    <row r="695">
      <c r="A695" t="inlineStr">
        <is>
          <t>NL0011794037</t>
        </is>
      </c>
      <c r="B695" t="inlineStr">
        <is>
          <t>AD.AS</t>
        </is>
      </c>
      <c r="C695" t="inlineStr">
        <is>
          <t>STOCK</t>
        </is>
      </c>
      <c r="D695" t="inlineStr">
        <is>
          <t>EQUITY</t>
        </is>
      </c>
      <c r="E695" t="inlineStr">
        <is>
          <t>acciones</t>
        </is>
      </c>
      <c r="F695" t="inlineStr">
        <is>
          <t>Koninklijke Ahold Delhaize NV</t>
        </is>
      </c>
      <c r="G695" t="inlineStr">
        <is>
          <t>EUR</t>
        </is>
      </c>
      <c r="H695" s="2" t="inlineStr">
        <is>
          <t>si</t>
        </is>
      </c>
    </row>
    <row r="696">
      <c r="A696" t="inlineStr">
        <is>
          <t>ES0157261019</t>
        </is>
      </c>
      <c r="B696" t="inlineStr">
        <is>
          <t>ROVI.MC</t>
        </is>
      </c>
      <c r="C696" t="inlineStr">
        <is>
          <t>STOCK</t>
        </is>
      </c>
      <c r="D696" t="inlineStr">
        <is>
          <t>EQUITY</t>
        </is>
      </c>
      <c r="E696" t="inlineStr">
        <is>
          <t>acciones</t>
        </is>
      </c>
      <c r="F696" t="inlineStr">
        <is>
          <t>Laboratorios Farmaceuticos ROVI</t>
        </is>
      </c>
      <c r="G696" t="inlineStr">
        <is>
          <t>EUR</t>
        </is>
      </c>
      <c r="H696" s="2" t="inlineStr">
        <is>
          <t>si</t>
        </is>
      </c>
    </row>
    <row r="697">
      <c r="A697" t="inlineStr">
        <is>
          <t>FR0000120321</t>
        </is>
      </c>
      <c r="B697" t="inlineStr">
        <is>
          <t>OR.PA</t>
        </is>
      </c>
      <c r="C697" t="inlineStr">
        <is>
          <t>STOCK</t>
        </is>
      </c>
      <c r="D697" t="inlineStr">
        <is>
          <t>EQUITY</t>
        </is>
      </c>
      <c r="E697" t="inlineStr">
        <is>
          <t>acciones</t>
        </is>
      </c>
      <c r="F697" t="inlineStr">
        <is>
          <t>LOréal S.A.</t>
        </is>
      </c>
      <c r="G697" t="inlineStr">
        <is>
          <t>EUR</t>
        </is>
      </c>
      <c r="H697" s="2" t="inlineStr">
        <is>
          <t>si</t>
        </is>
      </c>
    </row>
    <row r="698">
      <c r="A698" t="inlineStr">
        <is>
          <t>FR0000121014</t>
        </is>
      </c>
      <c r="B698" t="inlineStr">
        <is>
          <t>MC.PA</t>
        </is>
      </c>
      <c r="C698" t="inlineStr">
        <is>
          <t>STOCK</t>
        </is>
      </c>
      <c r="D698" t="inlineStr">
        <is>
          <t>EQUITY</t>
        </is>
      </c>
      <c r="E698" t="inlineStr">
        <is>
          <t>acciones</t>
        </is>
      </c>
      <c r="F698" t="inlineStr">
        <is>
          <t>LVMH Moët Hennessy - Louis Vuitton</t>
        </is>
      </c>
      <c r="G698" t="inlineStr">
        <is>
          <t>EUR</t>
        </is>
      </c>
      <c r="H698" s="2" t="inlineStr">
        <is>
          <t>si</t>
        </is>
      </c>
    </row>
    <row r="699">
      <c r="A699" t="inlineStr">
        <is>
          <t>ES0124244E34</t>
        </is>
      </c>
      <c r="B699" t="inlineStr">
        <is>
          <t>MAP.MC</t>
        </is>
      </c>
      <c r="C699" t="inlineStr">
        <is>
          <t>STOCK</t>
        </is>
      </c>
      <c r="D699" t="inlineStr">
        <is>
          <t>EQUITY</t>
        </is>
      </c>
      <c r="E699" t="inlineStr">
        <is>
          <t>acciones</t>
        </is>
      </c>
      <c r="F699" t="inlineStr">
        <is>
          <t>Mapfre</t>
        </is>
      </c>
      <c r="G699" t="inlineStr">
        <is>
          <t>EUR</t>
        </is>
      </c>
      <c r="H699" s="2" t="inlineStr">
        <is>
          <t>si</t>
        </is>
      </c>
    </row>
    <row r="700">
      <c r="A700" t="inlineStr">
        <is>
          <t>ES0176252718</t>
        </is>
      </c>
      <c r="B700" t="inlineStr">
        <is>
          <t>MEL.MC</t>
        </is>
      </c>
      <c r="C700" t="inlineStr">
        <is>
          <t>STOCK</t>
        </is>
      </c>
      <c r="D700" t="inlineStr">
        <is>
          <t>EQUITY</t>
        </is>
      </c>
      <c r="E700" t="inlineStr">
        <is>
          <t>acciones</t>
        </is>
      </c>
      <c r="F700" t="inlineStr">
        <is>
          <t>Melia Hotels</t>
        </is>
      </c>
      <c r="G700" t="inlineStr">
        <is>
          <t>EUR</t>
        </is>
      </c>
      <c r="H700" s="2" t="inlineStr">
        <is>
          <t>si</t>
        </is>
      </c>
    </row>
    <row r="701">
      <c r="A701" t="inlineStr">
        <is>
          <t>DE0007100000</t>
        </is>
      </c>
      <c r="B701" t="inlineStr">
        <is>
          <t>MBG.XETRA</t>
        </is>
      </c>
      <c r="C701" t="inlineStr">
        <is>
          <t>STOCK</t>
        </is>
      </c>
      <c r="D701" t="inlineStr">
        <is>
          <t>EQUITY</t>
        </is>
      </c>
      <c r="E701" t="inlineStr">
        <is>
          <t>acciones</t>
        </is>
      </c>
      <c r="F701" t="inlineStr">
        <is>
          <t>Mercedes-Benz Group AG</t>
        </is>
      </c>
      <c r="G701" t="inlineStr">
        <is>
          <t>EUR</t>
        </is>
      </c>
      <c r="H701" s="2" t="inlineStr">
        <is>
          <t>si</t>
        </is>
      </c>
    </row>
    <row r="702">
      <c r="A702" t="inlineStr">
        <is>
          <t>ES0105025003</t>
        </is>
      </c>
      <c r="B702" t="inlineStr">
        <is>
          <t>MRL.MC</t>
        </is>
      </c>
      <c r="C702" t="inlineStr">
        <is>
          <t>STOCK</t>
        </is>
      </c>
      <c r="D702" t="inlineStr">
        <is>
          <t>EQUITY</t>
        </is>
      </c>
      <c r="E702" t="inlineStr">
        <is>
          <t>acciones</t>
        </is>
      </c>
      <c r="F702" t="inlineStr">
        <is>
          <t>Merlin Properties SOCIMI SA</t>
        </is>
      </c>
      <c r="G702" t="inlineStr">
        <is>
          <t>EUR</t>
        </is>
      </c>
      <c r="H702" s="2" t="inlineStr">
        <is>
          <t>si</t>
        </is>
      </c>
    </row>
    <row r="703">
      <c r="A703" t="inlineStr">
        <is>
          <t>DE0008430026</t>
        </is>
      </c>
      <c r="B703" t="inlineStr">
        <is>
          <t>MUV2.XETRA</t>
        </is>
      </c>
      <c r="C703" t="inlineStr">
        <is>
          <t>STOCK</t>
        </is>
      </c>
      <c r="D703" t="inlineStr">
        <is>
          <t>EQUITY</t>
        </is>
      </c>
      <c r="E703" t="inlineStr">
        <is>
          <t>acciones</t>
        </is>
      </c>
      <c r="F703" t="inlineStr">
        <is>
          <t>Münchener Rück AG</t>
        </is>
      </c>
      <c r="G703" t="inlineStr">
        <is>
          <t>EUR</t>
        </is>
      </c>
      <c r="H703" s="2" t="inlineStr">
        <is>
          <t>si</t>
        </is>
      </c>
    </row>
    <row r="704">
      <c r="A704" t="inlineStr">
        <is>
          <t>ES0116870314</t>
        </is>
      </c>
      <c r="B704" t="inlineStr">
        <is>
          <t>NTGY.MC</t>
        </is>
      </c>
      <c r="C704" t="inlineStr">
        <is>
          <t>STOCK</t>
        </is>
      </c>
      <c r="D704" t="inlineStr">
        <is>
          <t>EQUITY</t>
        </is>
      </c>
      <c r="E704" t="inlineStr">
        <is>
          <t>acciones</t>
        </is>
      </c>
      <c r="F704" t="inlineStr">
        <is>
          <t>Naturgy Energy Group SA</t>
        </is>
      </c>
      <c r="G704" t="inlineStr">
        <is>
          <t>EUR</t>
        </is>
      </c>
      <c r="H704" s="2" t="inlineStr">
        <is>
          <t>si</t>
        </is>
      </c>
    </row>
    <row r="705">
      <c r="A705" t="inlineStr">
        <is>
          <t>FI4000297767</t>
        </is>
      </c>
      <c r="B705" t="inlineStr">
        <is>
          <t>NDA-FI.HE</t>
        </is>
      </c>
      <c r="C705" t="inlineStr">
        <is>
          <t>STOCK</t>
        </is>
      </c>
      <c r="D705" t="inlineStr">
        <is>
          <t>EQUITY</t>
        </is>
      </c>
      <c r="E705" t="inlineStr">
        <is>
          <t>acciones</t>
        </is>
      </c>
      <c r="F705" t="inlineStr">
        <is>
          <t>Nordea Bank Abp</t>
        </is>
      </c>
      <c r="G705" t="inlineStr">
        <is>
          <t>EUR</t>
        </is>
      </c>
      <c r="H705" s="2" t="inlineStr">
        <is>
          <t>si</t>
        </is>
      </c>
    </row>
    <row r="706">
      <c r="A706" t="inlineStr">
        <is>
          <t>FR0000120693</t>
        </is>
      </c>
      <c r="B706" t="inlineStr">
        <is>
          <t>RI.PA</t>
        </is>
      </c>
      <c r="C706" t="inlineStr">
        <is>
          <t>STOCK</t>
        </is>
      </c>
      <c r="D706" t="inlineStr">
        <is>
          <t>EQUITY</t>
        </is>
      </c>
      <c r="E706" t="inlineStr">
        <is>
          <t>acciones</t>
        </is>
      </c>
      <c r="F706" t="inlineStr">
        <is>
          <t>Pernod Ricard S.A.</t>
        </is>
      </c>
      <c r="G706" t="inlineStr">
        <is>
          <t>EUR</t>
        </is>
      </c>
      <c r="H706" s="2" t="inlineStr">
        <is>
          <t>si</t>
        </is>
      </c>
    </row>
    <row r="707">
      <c r="A707" t="inlineStr">
        <is>
          <t>NL0013654783</t>
        </is>
      </c>
      <c r="B707" t="inlineStr">
        <is>
          <t>PRX.AS</t>
        </is>
      </c>
      <c r="C707" t="inlineStr">
        <is>
          <t>STOCK</t>
        </is>
      </c>
      <c r="D707" t="inlineStr">
        <is>
          <t>EQUITY</t>
        </is>
      </c>
      <c r="E707" t="inlineStr">
        <is>
          <t>acciones</t>
        </is>
      </c>
      <c r="F707" t="inlineStr">
        <is>
          <t>Prosus N.V.</t>
        </is>
      </c>
      <c r="G707" t="inlineStr">
        <is>
          <t>EUR</t>
        </is>
      </c>
      <c r="H707" s="2" t="inlineStr">
        <is>
          <t>si</t>
        </is>
      </c>
    </row>
    <row r="708">
      <c r="A708" t="inlineStr">
        <is>
          <t>ES0173093024</t>
        </is>
      </c>
      <c r="B708" t="inlineStr">
        <is>
          <t>RED.MC</t>
        </is>
      </c>
      <c r="C708" t="inlineStr">
        <is>
          <t>STOCK</t>
        </is>
      </c>
      <c r="D708" t="inlineStr">
        <is>
          <t>EQUITY</t>
        </is>
      </c>
      <c r="E708" t="inlineStr">
        <is>
          <t>acciones</t>
        </is>
      </c>
      <c r="F708" t="inlineStr">
        <is>
          <t>Redeia Corporacion S.A.</t>
        </is>
      </c>
      <c r="G708" t="inlineStr">
        <is>
          <t>EUR</t>
        </is>
      </c>
      <c r="H708" s="2" t="inlineStr">
        <is>
          <t>si</t>
        </is>
      </c>
    </row>
    <row r="709">
      <c r="A709" t="inlineStr">
        <is>
          <t>ES0173516115</t>
        </is>
      </c>
      <c r="B709" t="inlineStr">
        <is>
          <t>REP.MC</t>
        </is>
      </c>
      <c r="C709" t="inlineStr">
        <is>
          <t>STOCK</t>
        </is>
      </c>
      <c r="D709" t="inlineStr">
        <is>
          <t>EQUITY</t>
        </is>
      </c>
      <c r="E709" t="inlineStr">
        <is>
          <t>acciones</t>
        </is>
      </c>
      <c r="F709" t="inlineStr">
        <is>
          <t>Repsol S.A.</t>
        </is>
      </c>
      <c r="G709" t="inlineStr">
        <is>
          <t>EUR</t>
        </is>
      </c>
      <c r="H709" s="2" t="inlineStr">
        <is>
          <t>si</t>
        </is>
      </c>
    </row>
    <row r="710">
      <c r="A710" t="inlineStr">
        <is>
          <t>ES0182870214</t>
        </is>
      </c>
      <c r="B710" t="inlineStr">
        <is>
          <t>SCYR.MC</t>
        </is>
      </c>
      <c r="C710" t="inlineStr">
        <is>
          <t>STOCK</t>
        </is>
      </c>
      <c r="D710" t="inlineStr">
        <is>
          <t>EQUITY</t>
        </is>
      </c>
      <c r="E710" t="inlineStr">
        <is>
          <t>acciones</t>
        </is>
      </c>
      <c r="F710" t="inlineStr">
        <is>
          <t>Sacyr SA</t>
        </is>
      </c>
      <c r="G710" t="inlineStr">
        <is>
          <t>EUR</t>
        </is>
      </c>
      <c r="H710" s="2" t="inlineStr">
        <is>
          <t>si</t>
        </is>
      </c>
    </row>
    <row r="711">
      <c r="A711" t="inlineStr">
        <is>
          <t>FR0000073272</t>
        </is>
      </c>
      <c r="B711" t="inlineStr">
        <is>
          <t>SAF.PA</t>
        </is>
      </c>
      <c r="C711" t="inlineStr">
        <is>
          <t>STOCK</t>
        </is>
      </c>
      <c r="D711" t="inlineStr">
        <is>
          <t>EQUITY</t>
        </is>
      </c>
      <c r="E711" t="inlineStr">
        <is>
          <t>acciones</t>
        </is>
      </c>
      <c r="F711" t="inlineStr">
        <is>
          <t>Safran SA</t>
        </is>
      </c>
      <c r="G711" t="inlineStr">
        <is>
          <t>EUR</t>
        </is>
      </c>
      <c r="H711" s="2" t="inlineStr">
        <is>
          <t>si</t>
        </is>
      </c>
    </row>
    <row r="712">
      <c r="A712" t="inlineStr">
        <is>
          <t>FR0000120578</t>
        </is>
      </c>
      <c r="B712" t="inlineStr">
        <is>
          <t>SAN.PA</t>
        </is>
      </c>
      <c r="C712" t="inlineStr">
        <is>
          <t>STOCK</t>
        </is>
      </c>
      <c r="D712" t="inlineStr">
        <is>
          <t>EQUITY</t>
        </is>
      </c>
      <c r="E712" t="inlineStr">
        <is>
          <t>acciones</t>
        </is>
      </c>
      <c r="F712" t="inlineStr">
        <is>
          <t>Sanofi SA</t>
        </is>
      </c>
      <c r="G712" t="inlineStr">
        <is>
          <t>EUR</t>
        </is>
      </c>
      <c r="H712" s="2" t="inlineStr">
        <is>
          <t>si</t>
        </is>
      </c>
    </row>
    <row r="713">
      <c r="A713" t="inlineStr">
        <is>
          <t>DE0007164600</t>
        </is>
      </c>
      <c r="B713" t="inlineStr">
        <is>
          <t>SAP.XETRA</t>
        </is>
      </c>
      <c r="C713" t="inlineStr">
        <is>
          <t>STOCK</t>
        </is>
      </c>
      <c r="D713" t="inlineStr">
        <is>
          <t>EQUITY</t>
        </is>
      </c>
      <c r="E713" t="inlineStr">
        <is>
          <t>acciones</t>
        </is>
      </c>
      <c r="F713" t="inlineStr">
        <is>
          <t>SAP SE</t>
        </is>
      </c>
      <c r="G713" t="inlineStr">
        <is>
          <t>EUR</t>
        </is>
      </c>
      <c r="H713" s="2" t="inlineStr">
        <is>
          <t>si</t>
        </is>
      </c>
    </row>
    <row r="714">
      <c r="A714" t="inlineStr">
        <is>
          <t>FR0000121972</t>
        </is>
      </c>
      <c r="B714" t="inlineStr">
        <is>
          <t>SU.PA</t>
        </is>
      </c>
      <c r="C714" t="inlineStr">
        <is>
          <t>STOCK</t>
        </is>
      </c>
      <c r="D714" t="inlineStr">
        <is>
          <t>EQUITY</t>
        </is>
      </c>
      <c r="E714" t="inlineStr">
        <is>
          <t>acciones</t>
        </is>
      </c>
      <c r="F714" t="inlineStr">
        <is>
          <t>Schneider Electric S.E.</t>
        </is>
      </c>
      <c r="G714" t="inlineStr">
        <is>
          <t>EUR</t>
        </is>
      </c>
      <c r="H714" s="2" t="inlineStr">
        <is>
          <t>si</t>
        </is>
      </c>
    </row>
    <row r="715">
      <c r="A715" t="inlineStr">
        <is>
          <t>DE0007236101</t>
        </is>
      </c>
      <c r="B715" t="inlineStr">
        <is>
          <t>SIE.XETRA</t>
        </is>
      </c>
      <c r="C715" t="inlineStr">
        <is>
          <t>STOCK</t>
        </is>
      </c>
      <c r="D715" t="inlineStr">
        <is>
          <t>EQUITY</t>
        </is>
      </c>
      <c r="E715" t="inlineStr">
        <is>
          <t>acciones</t>
        </is>
      </c>
      <c r="F715" t="inlineStr">
        <is>
          <t>Siemens Aktiengesellschaft</t>
        </is>
      </c>
      <c r="G715" t="inlineStr">
        <is>
          <t>EUR</t>
        </is>
      </c>
      <c r="H715" s="2" t="inlineStr">
        <is>
          <t>si</t>
        </is>
      </c>
    </row>
    <row r="716">
      <c r="A716" t="inlineStr">
        <is>
          <t>ES0143416115</t>
        </is>
      </c>
      <c r="B716" t="inlineStr">
        <is>
          <t>SGRE.MC</t>
        </is>
      </c>
      <c r="C716" t="inlineStr">
        <is>
          <t>STOCK</t>
        </is>
      </c>
      <c r="D716" t="inlineStr">
        <is>
          <t>EQUITY</t>
        </is>
      </c>
      <c r="E716" t="inlineStr">
        <is>
          <t>acciones</t>
        </is>
      </c>
      <c r="F716" t="inlineStr">
        <is>
          <t>Siemens Gamesa Renewable Energy S.A.</t>
        </is>
      </c>
      <c r="G716" t="inlineStr">
        <is>
          <t>EUR</t>
        </is>
      </c>
      <c r="H716" s="2" t="inlineStr">
        <is>
          <t>si</t>
        </is>
      </c>
    </row>
    <row r="717">
      <c r="A717" t="inlineStr">
        <is>
          <t>ES0165386014</t>
        </is>
      </c>
      <c r="B717" t="inlineStr">
        <is>
          <t>SLR.MC</t>
        </is>
      </c>
      <c r="C717" t="inlineStr">
        <is>
          <t>STOCK</t>
        </is>
      </c>
      <c r="D717" t="inlineStr">
        <is>
          <t>EQUITY</t>
        </is>
      </c>
      <c r="E717" t="inlineStr">
        <is>
          <t>acciones</t>
        </is>
      </c>
      <c r="F717" t="inlineStr">
        <is>
          <t>Solaria Energía y Medio Ambiente S.A</t>
        </is>
      </c>
      <c r="G717" t="inlineStr">
        <is>
          <t>EUR</t>
        </is>
      </c>
      <c r="H717" s="2" t="inlineStr">
        <is>
          <t>si</t>
        </is>
      </c>
    </row>
    <row r="718">
      <c r="A718" t="inlineStr">
        <is>
          <t>ES0178430E18</t>
        </is>
      </c>
      <c r="B718" t="inlineStr">
        <is>
          <t>TEF.MC</t>
        </is>
      </c>
      <c r="C718" t="inlineStr">
        <is>
          <t>STOCK</t>
        </is>
      </c>
      <c r="D718" t="inlineStr">
        <is>
          <t>EQUITY</t>
        </is>
      </c>
      <c r="E718" t="inlineStr">
        <is>
          <t>acciones</t>
        </is>
      </c>
      <c r="F718" t="inlineStr">
        <is>
          <t>Telefonica</t>
        </is>
      </c>
      <c r="G718" t="inlineStr">
        <is>
          <t>EUR</t>
        </is>
      </c>
      <c r="H718" s="2" t="inlineStr">
        <is>
          <t>si</t>
        </is>
      </c>
    </row>
    <row r="719">
      <c r="A719" t="inlineStr">
        <is>
          <t>FR0000120271</t>
        </is>
      </c>
      <c r="B719" t="inlineStr">
        <is>
          <t>TTE.PA</t>
        </is>
      </c>
      <c r="C719" t="inlineStr">
        <is>
          <t>STOCK</t>
        </is>
      </c>
      <c r="D719" t="inlineStr">
        <is>
          <t>EQUITY</t>
        </is>
      </c>
      <c r="E719" t="inlineStr">
        <is>
          <t>acciones</t>
        </is>
      </c>
      <c r="F719" t="inlineStr">
        <is>
          <t>TotalEnergies SE</t>
        </is>
      </c>
      <c r="G719" t="inlineStr">
        <is>
          <t>EUR</t>
        </is>
      </c>
      <c r="H719" s="2" t="inlineStr">
        <is>
          <t>si</t>
        </is>
      </c>
    </row>
    <row r="720">
      <c r="A720" t="inlineStr">
        <is>
          <t>ES0105394003</t>
        </is>
      </c>
      <c r="B720" t="inlineStr">
        <is>
          <t>TSK.MC</t>
        </is>
      </c>
      <c r="C720" t="inlineStr">
        <is>
          <t>STOCK</t>
        </is>
      </c>
      <c r="D720" t="inlineStr">
        <is>
          <t>EQUITY</t>
        </is>
      </c>
      <c r="E720" t="inlineStr">
        <is>
          <t>acciones</t>
        </is>
      </c>
      <c r="F720" t="inlineStr">
        <is>
          <t>TSK ELECTRONICA Y ELECTRICIDAD</t>
        </is>
      </c>
      <c r="G720" t="inlineStr">
        <is>
          <t>EUR</t>
        </is>
      </c>
      <c r="H720" s="2" t="inlineStr">
        <is>
          <t>si</t>
        </is>
      </c>
    </row>
    <row r="721">
      <c r="A721" t="inlineStr">
        <is>
          <t>ES0132945017</t>
        </is>
      </c>
      <c r="B721" t="inlineStr">
        <is>
          <t>TUB.MC</t>
        </is>
      </c>
      <c r="C721" t="inlineStr">
        <is>
          <t>STOCK</t>
        </is>
      </c>
      <c r="D721" t="inlineStr">
        <is>
          <t>EQUITY</t>
        </is>
      </c>
      <c r="E721" t="inlineStr">
        <is>
          <t>acciones</t>
        </is>
      </c>
      <c r="F721" t="inlineStr">
        <is>
          <t>Tubacex S.A</t>
        </is>
      </c>
      <c r="G721" t="inlineStr">
        <is>
          <t>EUR</t>
        </is>
      </c>
      <c r="H721" s="2" t="inlineStr">
        <is>
          <t>si</t>
        </is>
      </c>
    </row>
    <row r="722">
      <c r="A722" t="inlineStr">
        <is>
          <t>ES0180907000</t>
        </is>
      </c>
      <c r="B722" t="inlineStr">
        <is>
          <t>UNI.MC</t>
        </is>
      </c>
      <c r="C722" t="inlineStr">
        <is>
          <t>STOCK</t>
        </is>
      </c>
      <c r="D722" t="inlineStr">
        <is>
          <t>EQUITY</t>
        </is>
      </c>
      <c r="E722" t="inlineStr">
        <is>
          <t>acciones</t>
        </is>
      </c>
      <c r="F722" t="inlineStr">
        <is>
          <t>Unicaja Banco SA</t>
        </is>
      </c>
      <c r="G722" t="inlineStr">
        <is>
          <t>EUR</t>
        </is>
      </c>
      <c r="H722" s="2" t="inlineStr">
        <is>
          <t>si</t>
        </is>
      </c>
    </row>
    <row r="723">
      <c r="A723" t="inlineStr">
        <is>
          <t>IT0005239360</t>
        </is>
      </c>
      <c r="B723" t="inlineStr">
        <is>
          <t>CRIN.XETRA</t>
        </is>
      </c>
      <c r="C723" t="inlineStr">
        <is>
          <t>STOCK</t>
        </is>
      </c>
      <c r="D723" t="inlineStr">
        <is>
          <t>EQUITY</t>
        </is>
      </c>
      <c r="E723" t="inlineStr">
        <is>
          <t>acciones</t>
        </is>
      </c>
      <c r="F723" t="inlineStr">
        <is>
          <t>UniCredit SpA</t>
        </is>
      </c>
      <c r="G723" t="inlineStr">
        <is>
          <t>EUR</t>
        </is>
      </c>
      <c r="H723" s="2" t="inlineStr">
        <is>
          <t>si</t>
        </is>
      </c>
    </row>
    <row r="724">
      <c r="A724" t="inlineStr">
        <is>
          <t>FR0000125486</t>
        </is>
      </c>
      <c r="B724" t="inlineStr">
        <is>
          <t>DG.PA</t>
        </is>
      </c>
      <c r="C724" t="inlineStr">
        <is>
          <t>STOCK</t>
        </is>
      </c>
      <c r="D724" t="inlineStr">
        <is>
          <t>EQUITY</t>
        </is>
      </c>
      <c r="E724" t="inlineStr">
        <is>
          <t>acciones</t>
        </is>
      </c>
      <c r="F724" t="inlineStr">
        <is>
          <t>Vinci S.A.</t>
        </is>
      </c>
      <c r="G724" t="inlineStr">
        <is>
          <t>EUR</t>
        </is>
      </c>
      <c r="H724" s="2" t="inlineStr">
        <is>
          <t>si</t>
        </is>
      </c>
    </row>
    <row r="725">
      <c r="A725" t="inlineStr">
        <is>
          <t>DE0007664039</t>
        </is>
      </c>
      <c r="B725" t="inlineStr">
        <is>
          <t>VOW3.XETRA</t>
        </is>
      </c>
      <c r="C725" t="inlineStr">
        <is>
          <t>STOCK</t>
        </is>
      </c>
      <c r="D725" t="inlineStr">
        <is>
          <t>EQUITY</t>
        </is>
      </c>
      <c r="E725" t="inlineStr">
        <is>
          <t>acciones</t>
        </is>
      </c>
      <c r="F725" t="inlineStr">
        <is>
          <t>Volkswagen AG VZO O.N.</t>
        </is>
      </c>
      <c r="G725" t="inlineStr">
        <is>
          <t>EUR</t>
        </is>
      </c>
      <c r="H725" s="2" t="inlineStr">
        <is>
          <t>si</t>
        </is>
      </c>
    </row>
    <row r="726">
      <c r="A726" t="inlineStr">
        <is>
          <t>DE000A1ML7J1</t>
        </is>
      </c>
      <c r="B726" t="inlineStr">
        <is>
          <t>VNA.XETRA</t>
        </is>
      </c>
      <c r="C726" t="inlineStr">
        <is>
          <t>STOCK</t>
        </is>
      </c>
      <c r="D726" t="inlineStr">
        <is>
          <t>EQUITY</t>
        </is>
      </c>
      <c r="E726" t="inlineStr">
        <is>
          <t>acciones</t>
        </is>
      </c>
      <c r="F726" t="inlineStr">
        <is>
          <t>Vonovia SE</t>
        </is>
      </c>
      <c r="G726" t="inlineStr">
        <is>
          <t>EUR</t>
        </is>
      </c>
      <c r="H726" s="2" t="inlineStr">
        <is>
          <t>si</t>
        </is>
      </c>
    </row>
  </sheetData>
  <autoFilter ref="A1:H726"/>
  <conditionalFormatting sqref="A2:H726">
    <cfRule type="expression" priority="1" dxfId="0">
      <formula>$H2="si"</formula>
    </cfRule>
  </conditionalFormatting>
  <dataValidations count="3">
    <dataValidation sqref="H2:H726" showDropDown="0" showInputMessage="0" showErrorMessage="0" allowBlank="0" type="list">
      <formula1>"si,no"</formula1>
    </dataValidation>
    <dataValidation sqref="D2:D726" showDropDown="0" showInputMessage="0" showErrorMessage="0" allowBlank="1" type="list">
      <formula1>"EQUITY,FIXED_INCOME,MIXED,MONEY_MARKET,OTHER"</formula1>
    </dataValidation>
    <dataValidation sqref="G2:G726" showDropDown="0" showInputMessage="0" showErrorMessage="0" allowBlank="0" type="list">
      <formula1>"EUR"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10" customWidth="1" min="1" max="1"/>
    <col width="12" customWidth="1" min="2" max="2"/>
  </cols>
  <sheetData>
    <row r="1">
      <c r="A1" s="3" t="inlineStr">
        <is>
          <t>Universo de la alfa · cómo usar este libro</t>
        </is>
      </c>
    </row>
    <row r="2">
      <c r="A2" s="4" t="n"/>
    </row>
    <row r="3">
      <c r="A3" s="4" t="inlineStr">
        <is>
          <t>1. En la hoja «Universo», cambia la columna «incluir» (amarilla) a «si» en cada instrumento que quieras en la alfa. Es la única celda que hay que editar; el resto viene rellenado.</t>
        </is>
      </c>
    </row>
    <row r="4">
      <c r="A4" s="4" t="inlineStr">
        <is>
          <t>2. Usa los filtros de la fila 1 para trabajar por grupo (fondos-bolsa, fondos-bonos, etf, acciones…). Las filas con «si» se sombrean en verde.</t>
        </is>
      </c>
    </row>
    <row r="5">
      <c r="A5" s="4" t="inlineStr">
        <is>
          <t>3. Las columnas «clase» (para fondos), «divisa» (siempre EUR) y «eodhd_symbol» deben estar rellenas en toda fila con «si». Las vacías están marcadas en el recuento de abajo.</t>
        </is>
      </c>
    </row>
    <row r="6">
      <c r="A6" s="4" t="inlineStr">
        <is>
          <t>4. Los cuatro fondos de referencia del laboratorio (filas 2–5) deben quedarse en «si».</t>
        </is>
      </c>
    </row>
    <row r="7">
      <c r="A7" s="4" t="inlineStr">
        <is>
          <t>5. Cuando termines, guarda el libro (mismo nombre) y avisa: el CSV que lee el pipeline se genera desde este Excel. No edites el CSV en Excel.</t>
        </is>
      </c>
    </row>
    <row r="8">
      <c r="A8" s="4" t="inlineStr">
        <is>
          <t>6. Este libro y el CSV viven en la carpeta «universo/», fuera de «data/», porque «data/» se publica entera en la web y la lista de la alfa no debe publicarse.</t>
        </is>
      </c>
    </row>
    <row r="9">
      <c r="A9" s="4" t="n"/>
    </row>
    <row r="10">
      <c r="A10" s="5" t="inlineStr">
        <is>
          <t>Recuento</t>
        </is>
      </c>
    </row>
    <row r="11">
      <c r="A11" s="4" t="inlineStr">
        <is>
          <t>Incluidos («si»)</t>
        </is>
      </c>
      <c r="B11">
        <f>COUNTIF(Universo!$H$2:$H$726,"si")</f>
        <v/>
      </c>
    </row>
    <row r="12">
      <c r="A12" s="4" t="inlineStr">
        <is>
          <t>Total en la lista</t>
        </is>
      </c>
      <c r="B12">
        <f>COUNTA(Universo!$A$2:$A$726)</f>
        <v/>
      </c>
    </row>
    <row r="13">
      <c r="A13" s="4" t="inlineStr">
        <is>
          <t>Incluidos sin clase</t>
        </is>
      </c>
      <c r="B13">
        <f>COUNTIFS(Universo!$H$2:$H$726,"si",Universo!$D$2:$D$726,"")</f>
        <v/>
      </c>
    </row>
    <row r="14">
      <c r="A14" s="4" t="inlineStr">
        <is>
          <t>Incluidos sin símbolo EODHD</t>
        </is>
      </c>
      <c r="B14">
        <f>COUNTIFS(Universo!$H$2:$H$726,"si",Universo!$B$2:$B$726,"")</f>
        <v/>
      </c>
    </row>
    <row r="15">
      <c r="A15" s="4" t="inlineStr">
        <is>
          <t>Incluidos con divisa distinta de EUR</t>
        </is>
      </c>
      <c r="B15">
        <f>COUNTIFS(Universo!$H$2:$H$726,"si",Universo!$G$2:$G$726,"&lt;&gt;EUR")</f>
        <v/>
      </c>
    </row>
    <row r="16">
      <c r="A16" s="4" t="inlineStr">
        <is>
          <t xml:space="preserve">  referencia-bolsa</t>
        </is>
      </c>
      <c r="B16">
        <f>COUNTIFS(Universo!$H$2:$H$726,"si",Universo!$E$2:$E$726,"referencia-bolsa")</f>
        <v/>
      </c>
    </row>
    <row r="17">
      <c r="A17" s="4" t="inlineStr">
        <is>
          <t xml:space="preserve">  referencia-bonos</t>
        </is>
      </c>
      <c r="B17">
        <f>COUNTIFS(Universo!$H$2:$H$726,"si",Universo!$E$2:$E$726,"referencia-bonos")</f>
        <v/>
      </c>
    </row>
    <row r="18">
      <c r="A18" s="4" t="inlineStr">
        <is>
          <t xml:space="preserve">  fondos-bolsa</t>
        </is>
      </c>
      <c r="B18">
        <f>COUNTIFS(Universo!$H$2:$H$726,"si",Universo!$E$2:$E$726,"fondos-bolsa")</f>
        <v/>
      </c>
    </row>
    <row r="19">
      <c r="A19" s="4" t="inlineStr">
        <is>
          <t xml:space="preserve">  fondos-bonos</t>
        </is>
      </c>
      <c r="B19">
        <f>COUNTIFS(Universo!$H$2:$H$726,"si",Universo!$E$2:$E$726,"fondos-bonos")</f>
        <v/>
      </c>
    </row>
    <row r="20">
      <c r="A20" s="4" t="inlineStr">
        <is>
          <t xml:space="preserve">  fondos-mixtos</t>
        </is>
      </c>
      <c r="B20">
        <f>COUNTIFS(Universo!$H$2:$H$726,"si",Universo!$E$2:$E$726,"fondos-mixtos")</f>
        <v/>
      </c>
    </row>
    <row r="21">
      <c r="A21" s="4" t="inlineStr">
        <is>
          <t xml:space="preserve">  fondos-monetarios</t>
        </is>
      </c>
      <c r="B21">
        <f>COUNTIFS(Universo!$H$2:$H$726,"si",Universo!$E$2:$E$726,"fondos-monetarios")</f>
        <v/>
      </c>
    </row>
    <row r="22">
      <c r="A22" s="4" t="inlineStr">
        <is>
          <t xml:space="preserve">  fondos-otros</t>
        </is>
      </c>
      <c r="B22">
        <f>COUNTIFS(Universo!$H$2:$H$726,"si",Universo!$E$2:$E$726,"fondos-otros")</f>
        <v/>
      </c>
    </row>
    <row r="23">
      <c r="A23" s="4" t="inlineStr">
        <is>
          <t xml:space="preserve">  etf</t>
        </is>
      </c>
      <c r="B23">
        <f>COUNTIFS(Universo!$H$2:$H$726,"si",Universo!$E$2:$E$726,"etf")</f>
        <v/>
      </c>
    </row>
    <row r="24">
      <c r="A24" s="4" t="inlineStr">
        <is>
          <t xml:space="preserve">  acciones</t>
        </is>
      </c>
      <c r="B24">
        <f>COUNTIFS(Universo!$H$2:$H$726,"si",Universo!$E$2:$E$726,"acciones")</f>
        <v/>
      </c>
    </row>
    <row r="25">
      <c r="A25" s="4" t="n"/>
    </row>
    <row r="26">
      <c r="A26" s="4" t="inlineStr">
        <is>
          <t>Fuente de la lista: catálogo de nuvia-market-data (solo ISIN, símbolo, tipo, clase y nombre; 725 instrumentos en EUR), 02-09-2026. La columna «divisa» viene de ese filtro y el pipeline la comprueba contra EODHD antes de publicar. Precios y fichas: EODHD, vía el pipeline de la alfa.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2026-09-02T15:38:10Z</dcterms:created>
  <dcterms:modified xmlns:dcterms="http://purl.org/dc/terms/" xmlns:xsi="http://www.w3.org/2001/XMLSchema-instance" xsi:type="dcterms:W3CDTF">2026-09-02T19:35:47Z</dcterms:modified>
</cp:coreProperties>
</file>